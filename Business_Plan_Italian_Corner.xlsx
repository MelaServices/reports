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arametri" sheetId="2" state="visible" r:id="rId2"/>
    <sheet xmlns:r="http://schemas.openxmlformats.org/officeDocument/2006/relationships" name="P&amp;L Mensile" sheetId="3" state="visible" r:id="rId3"/>
    <sheet xmlns:r="http://schemas.openxmlformats.org/officeDocument/2006/relationships" name="Investimento &amp; ROI" sheetId="4" state="visible" r:id="rId4"/>
    <sheet xmlns:r="http://schemas.openxmlformats.org/officeDocument/2006/relationships" name="Analisi Scenari" sheetId="5" state="visible" r:id="rId5"/>
    <sheet xmlns:r="http://schemas.openxmlformats.org/officeDocument/2006/relationships" name="Cash Flow 12 Mesi" sheetId="6" state="visible" r:id="rId6"/>
    <sheet xmlns:r="http://schemas.openxmlformats.org/officeDocument/2006/relationships" name="Cash Flow 24 Mesi Multi-Store" sheetId="7" state="visible" r:id="rId7"/>
  </sheets>
  <definedNames/>
  <calcPr calcId="124519" calcMode="auto" fullCalcOnLoad="1"/>
</workbook>
</file>

<file path=xl/styles.xml><?xml version="1.0" encoding="utf-8"?>
<styleSheet xmlns="http://schemas.openxmlformats.org/spreadsheetml/2006/main">
  <numFmts count="4">
    <numFmt numFmtId="164" formatCode="€ #,##0"/>
    <numFmt numFmtId="165" formatCode="0.0%"/>
    <numFmt numFmtId="166" formatCode="0.0 &quot;mesi&quot;"/>
    <numFmt numFmtId="167" formatCode="€ #,##0.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2"/>
    </font>
    <font>
      <name val="Arial"/>
      <b val="1"/>
      <color rgb="00000000"/>
      <sz val="11"/>
    </font>
    <font>
      <name val="Arial"/>
      <b val="1"/>
      <color rgb="00FFFFFF"/>
      <sz val="11"/>
    </font>
    <font>
      <b val="1"/>
    </font>
    <font>
      <name val="Arial"/>
      <color rgb="00FFFFFF"/>
      <sz val="10"/>
    </font>
    <font>
      <name val="Arial"/>
      <i val="1"/>
      <color rgb="004A4138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7A9B5C"/>
        <bgColor rgb="007A9B5C"/>
      </patternFill>
    </fill>
    <fill>
      <patternFill patternType="solid">
        <fgColor rgb="00E8DCC8"/>
        <bgColor rgb="00E8DCC8"/>
      </patternFill>
    </fill>
    <fill>
      <patternFill patternType="solid">
        <fgColor rgb="00B83A38"/>
        <bgColor rgb="00B83A38"/>
      </patternFill>
    </fill>
    <fill>
      <patternFill patternType="solid">
        <fgColor rgb="00F5F5F5"/>
        <bgColor rgb="00F5F5F5"/>
      </patternFill>
    </fill>
    <fill>
      <patternFill patternType="solid">
        <fgColor rgb="005FB34A"/>
        <bgColor rgb="005FB34A"/>
      </patternFill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164" fontId="0" fillId="7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1" fontId="0" fillId="0" borderId="0" pivotButton="0" quotePrefix="0" xfId="0"/>
    <xf numFmtId="167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0" fillId="5" borderId="0" pivotButton="0" quotePrefix="0" xfId="0"/>
    <xf numFmtId="164" fontId="0" fillId="5" borderId="0" pivotButton="0" quotePrefix="0" xfId="0"/>
    <xf numFmtId="0" fontId="4" fillId="4" borderId="0" pivotButton="0" quotePrefix="0" xfId="0"/>
    <xf numFmtId="164" fontId="4" fillId="4" borderId="0" pivotButton="0" quotePrefix="0" xfId="0"/>
    <xf numFmtId="0" fontId="4" fillId="5" borderId="0" pivotButton="0" quotePrefix="0" xfId="0"/>
    <xf numFmtId="164" fontId="4" fillId="5" borderId="0" pivotButton="0" quotePrefix="0" xfId="0"/>
    <xf numFmtId="0" fontId="2" fillId="3" borderId="0" pivotButton="0" quotePrefix="0" xfId="0"/>
    <xf numFmtId="164" fontId="2" fillId="3" borderId="0" pivotButton="0" quotePrefix="0" xfId="0"/>
    <xf numFmtId="165" fontId="2" fillId="3" borderId="0" pivotButton="0" quotePrefix="0" xfId="0"/>
    <xf numFmtId="165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0" fontId="4" fillId="6" borderId="0" pivotButton="0" quotePrefix="0" xfId="0"/>
    <xf numFmtId="164" fontId="6" fillId="6" borderId="0" pivotButton="0" quotePrefix="0" xfId="0"/>
    <xf numFmtId="164" fontId="6" fillId="4" borderId="0" pivotButton="0" quotePrefix="0" xfId="0"/>
    <xf numFmtId="0" fontId="7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4" fontId="0" fillId="7" borderId="0" applyAlignment="1" pivotButton="0" quotePrefix="0" xfId="0">
      <alignment vertical="top" wrapText="1"/>
    </xf>
    <xf numFmtId="167" fontId="0" fillId="0" borderId="0" pivotButton="0" quotePrefix="0" xfId="0"/>
    <xf numFmtId="164" fontId="0" fillId="0" borderId="0" pivotButton="0" quotePrefix="0" xfId="0"/>
    <xf numFmtId="164" fontId="0" fillId="5" borderId="0" pivotButton="0" quotePrefix="0" xfId="0"/>
    <xf numFmtId="164" fontId="4" fillId="4" borderId="0" pivotButton="0" quotePrefix="0" xfId="0"/>
    <xf numFmtId="164" fontId="4" fillId="5" borderId="0" pivotButton="0" quotePrefix="0" xfId="0"/>
    <xf numFmtId="164" fontId="2" fillId="3" borderId="0" pivotButton="0" quotePrefix="0" xfId="0"/>
    <xf numFmtId="165" fontId="2" fillId="3" borderId="0" pivotButton="0" quotePrefix="0" xfId="0"/>
    <xf numFmtId="165" fontId="0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0" fillId="0" borderId="0" pivotButton="0" quotePrefix="0" xfId="0"/>
    <xf numFmtId="164" fontId="6" fillId="6" borderId="0" pivotButton="0" quotePrefix="0" xfId="0"/>
    <xf numFmtId="164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Andamento Cash Flow Cumulativo (12 mesi)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 Mesi'!$B$3:$M$3</f>
            </numRef>
          </cat>
          <val>
            <numRef>
              <f>'Cash Flow 12 Mesi'!$B$16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 Mesi'!$B$3:$M$3</f>
            </numRef>
          </cat>
          <val>
            <numRef>
              <f>'Cash Flow 12 Mesi'!$C$16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 Mesi'!$B$3:$M$3</f>
            </numRef>
          </cat>
          <val>
            <numRef>
              <f>'Cash Flow 12 Mesi'!$D$16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 Mesi'!$B$3:$M$3</f>
            </numRef>
          </cat>
          <val>
            <numRef>
              <f>'Cash Flow 12 Mesi'!$E$16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 Mesi'!$B$3:$M$3</f>
            </numRef>
          </cat>
          <val>
            <numRef>
              <f>'Cash Flow 12 Mesi'!$F$16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 Mesi'!$B$3:$M$3</f>
            </numRef>
          </cat>
          <val>
            <numRef>
              <f>'Cash Flow 12 Mesi'!$G$16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 Mesi'!$B$3:$M$3</f>
            </numRef>
          </cat>
          <val>
            <numRef>
              <f>'Cash Flow 12 Mesi'!$H$16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 Mesi'!$B$3:$M$3</f>
            </numRef>
          </cat>
          <val>
            <numRef>
              <f>'Cash Flow 12 Mesi'!$I$16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 Mesi'!$B$3:$M$3</f>
            </numRef>
          </cat>
          <val>
            <numRef>
              <f>'Cash Flow 12 Mesi'!$J$16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 Mesi'!$B$3:$M$3</f>
            </numRef>
          </cat>
          <val>
            <numRef>
              <f>'Cash Flow 12 Mesi'!$K$16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 Mesi'!$B$3:$M$3</f>
            </numRef>
          </cat>
          <val>
            <numRef>
              <f>'Cash Flow 12 Mesi'!$L$16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 Mesi'!$B$3:$M$3</f>
            </numRef>
          </cat>
          <val>
            <numRef>
              <f>'Cash Flow 12 Mesi'!$M$16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Euro (€)</a:t>
                </a:r>
              </a:p>
            </rich>
          </tx>
        </title>
        <numFmt formatCode="€ 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90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45" customWidth="1" min="3" max="3"/>
    <col width="15" customWidth="1" min="4" max="4"/>
  </cols>
  <sheetData>
    <row r="1" ht="30" customHeight="1">
      <c r="A1" s="1" t="inlineStr">
        <is>
          <t>EXECUTIVE SUMMARY - ITALIAN CORNER</t>
        </is>
      </c>
    </row>
    <row r="3">
      <c r="A3" s="2" t="inlineStr">
        <is>
          <t>IL CONCEPT IN BREVE</t>
        </is>
      </c>
    </row>
    <row r="4">
      <c r="A4" s="3" t="inlineStr">
        <is>
          <t>Modello di Business</t>
        </is>
      </c>
      <c r="B4" s="4" t="inlineStr">
        <is>
          <t>Catena di corner take-away per piatti pronti italiani di alta qualità, pronti in 60 secondi.</t>
        </is>
      </c>
    </row>
    <row r="5">
      <c r="A5" s="3" t="inlineStr">
        <is>
          <t>Unique Selling Proposition</t>
        </is>
      </c>
      <c r="B5" s="4" t="inlineStr">
        <is>
          <t>Tecnologia di conservazione a 12 mesi senza catena del freddo. Qualità ristorante, velocità fast-food.</t>
        </is>
      </c>
    </row>
    <row r="6">
      <c r="A6" s="3" t="inlineStr">
        <is>
          <t>Mercato Target</t>
        </is>
      </c>
      <c r="B6" s="4" t="inlineStr">
        <is>
          <t>Lavoratori (pranzo veloce), turisti (pasto tipico italiano), clienti salutisti (piatti bilanciati).</t>
        </is>
      </c>
    </row>
    <row r="8">
      <c r="A8" s="2" t="inlineStr">
        <is>
          <t>METRICHE CHIAVE - SINGOLO PUNTO VENDITA (A REGIME)</t>
        </is>
      </c>
    </row>
    <row r="9">
      <c r="A9" s="3" t="inlineStr">
        <is>
          <t>Investimento Iniziale per Punto Vendita</t>
        </is>
      </c>
      <c r="B9" s="41">
        <f>'Investimento &amp; ROI'!B16</f>
        <v/>
      </c>
      <c r="C9" s="4" t="inlineStr">
        <is>
          <t>CAPEX completo per apertura.</t>
        </is>
      </c>
    </row>
    <row r="10">
      <c r="A10" s="3" t="inlineStr">
        <is>
          <t>Fatturato Mensile (100% capacità)</t>
        </is>
      </c>
      <c r="B10" s="41">
        <f>'P&amp;L Mensile'!D11</f>
        <v/>
      </c>
      <c r="C10" s="4" t="inlineStr">
        <is>
          <t>Dopo 10 mesi di ramp-up.</t>
        </is>
      </c>
    </row>
    <row r="11">
      <c r="A11" s="3" t="inlineStr">
        <is>
          <t>EBITDA Mensile (a regime)</t>
        </is>
      </c>
      <c r="B11" s="41">
        <f>'P&amp;L Mensile'!D32</f>
        <v/>
      </c>
      <c r="C11" s="4" t="inlineStr">
        <is>
          <t>Margine operativo ricorrente.</t>
        </is>
      </c>
    </row>
    <row r="12">
      <c r="A12" s="3" t="inlineStr">
        <is>
          <t>Margine EBITDA %</t>
        </is>
      </c>
      <c r="B12" s="42">
        <f>'P&amp;L Mensile'!E32</f>
        <v/>
      </c>
      <c r="C12" s="4" t="inlineStr">
        <is>
          <t>Redditività operativa.</t>
        </is>
      </c>
    </row>
    <row r="13">
      <c r="A13" s="3" t="inlineStr">
        <is>
          <t>Payback Period (singolo Punto Vendita)</t>
        </is>
      </c>
      <c r="B13" s="43">
        <f>'Investimento &amp; ROI'!B21</f>
        <v/>
      </c>
      <c r="C13" s="4" t="inlineStr">
        <is>
          <t>Rientro investimento.</t>
        </is>
      </c>
    </row>
    <row r="14">
      <c r="A14" s="3" t="inlineStr">
        <is>
          <t>ROI Anno 1 (singolo Punto Vendita)</t>
        </is>
      </c>
      <c r="B14" s="42">
        <f>'Investimento &amp; ROI'!B22</f>
        <v/>
      </c>
      <c r="C14" s="4" t="inlineStr">
        <is>
          <t>Ritorno primo anno.</t>
        </is>
      </c>
    </row>
    <row r="16">
      <c r="A16" s="2" t="inlineStr">
        <is>
          <t>PIANO DI ESPANSIONE 24 MESI (5 PUNTI VENDITA)</t>
        </is>
      </c>
    </row>
    <row r="17">
      <c r="A17" s="3" t="inlineStr">
        <is>
          <t>Strategia</t>
        </is>
      </c>
      <c r="B17" s="4" t="inlineStr">
        <is>
          <t>Apertura sequenziale per autofinanziare l'espansione con cash flow dei primi PdV.</t>
        </is>
      </c>
    </row>
    <row r="18">
      <c r="A18" s="3" t="inlineStr">
        <is>
          <t>Timeline Aperture</t>
        </is>
      </c>
      <c r="B18" s="4" t="inlineStr">
        <is>
          <t>Punto Vendita 1 (Mese 1) → Punto Vendita 2 (Mese 13) → Punto Vendita 3-5 (ogni 2 mesi).</t>
        </is>
      </c>
    </row>
    <row r="19">
      <c r="A19" s="3" t="inlineStr">
        <is>
          <t>Modello Ramp-Up</t>
        </is>
      </c>
      <c r="B19" s="4" t="inlineStr">
        <is>
          <t>30% capacità primi 2 mesi, 60% mesi 3-9, 100% da mese 10 in poi.</t>
        </is>
      </c>
    </row>
    <row r="21">
      <c r="A21" s="2" t="inlineStr">
        <is>
          <t>ANALISI FABBISOGNO FINANZIARIO (ESPANSIONE 5 Punti Vendita)</t>
        </is>
      </c>
    </row>
    <row r="22">
      <c r="A22" s="3" t="inlineStr">
        <is>
          <t>Investimento Totale Teorico</t>
        </is>
      </c>
      <c r="B22" s="41">
        <f>'Cash Flow 24 Mesi Multi-Store'!B57</f>
        <v/>
      </c>
      <c r="C22" s="4" t="inlineStr">
        <is>
          <t>5 Punto Vendita × €190.000 (se aperti simultaneamente).</t>
        </is>
      </c>
    </row>
    <row r="23">
      <c r="A23" s="3" t="inlineStr">
        <is>
          <t>Punto di Minimo CF Cumulativo</t>
        </is>
      </c>
      <c r="B23" s="41">
        <f>'Cash Flow 24 Mesi Multi-Store'!B58</f>
        <v/>
      </c>
      <c r="C23" s="4" t="inlineStr">
        <is>
          <t>Massimo scoperto necessario.</t>
        </is>
      </c>
    </row>
    <row r="24">
      <c r="A24" s="8" t="inlineStr">
        <is>
          <t>INVESTIMENTO INIZIALE REALE</t>
        </is>
      </c>
      <c r="B24" s="41">
        <f>'Cash Flow 24 Mesi Multi-Store'!B59</f>
        <v/>
      </c>
      <c r="C24" s="4" t="inlineStr">
        <is>
          <t>Capitale effettivamente necessario all'inizio.</t>
        </is>
      </c>
    </row>
    <row r="25">
      <c r="A25" s="3" t="inlineStr">
        <is>
          <t>Risparmio vs Investimento Teorico</t>
        </is>
      </c>
      <c r="B25" s="41">
        <f>'Cash Flow 24 Mesi Multi-Store'!B60</f>
        <v/>
      </c>
      <c r="C25" s="4" t="inlineStr">
        <is>
          <t>Grazie al cash flow sequenziale.</t>
        </is>
      </c>
    </row>
    <row r="26">
      <c r="A26" s="3" t="inlineStr">
        <is>
          <t>% Risparmio</t>
        </is>
      </c>
      <c r="B26" s="42">
        <f>'Cash Flow 24 Mesi Multi-Store'!C60</f>
        <v/>
      </c>
      <c r="C26" s="4" t="inlineStr">
        <is>
          <t>Riduzione fabbisogno capitale.</t>
        </is>
      </c>
    </row>
    <row r="28">
      <c r="A28" s="2" t="inlineStr">
        <is>
          <t>RICHIESTA FINANZIARIA</t>
        </is>
      </c>
    </row>
    <row r="29">
      <c r="A29" s="3" t="inlineStr">
        <is>
          <t>Importo Richiesto (SEED)</t>
        </is>
      </c>
      <c r="B29" s="44">
        <f>'Cash Flow 24 Mesi Multi-Store'!B59</f>
        <v/>
      </c>
      <c r="C29" s="4" t="inlineStr">
        <is>
          <t>Basato sull'analisi cash flow 24 mesi.</t>
        </is>
      </c>
    </row>
    <row r="30">
      <c r="A30" s="3" t="inlineStr">
        <is>
          <t>Utilizzo dei Fondi</t>
        </is>
      </c>
      <c r="B30" s="4" t="inlineStr">
        <is>
          <t>Apertura sequenziale 5 Punto Vendita nei primi 24 mesi + capitale circolante.</t>
        </is>
      </c>
    </row>
    <row r="31">
      <c r="A31" s="3" t="inlineStr">
        <is>
          <t>Milestone di Validazione</t>
        </is>
      </c>
      <c r="B31" s="4" t="inlineStr">
        <is>
          <t>Break-even previsto entro Mese 20-22. Ricavi consolidati crescenti da Mese 13.</t>
        </is>
      </c>
    </row>
  </sheetData>
  <mergeCells count="6">
    <mergeCell ref="A1:D1"/>
    <mergeCell ref="A8:D8"/>
    <mergeCell ref="A3:D3"/>
    <mergeCell ref="A21:D21"/>
    <mergeCell ref="A16:D16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15" customWidth="1" min="4" max="4"/>
    <col width="15" customWidth="1" min="5" max="5"/>
    <col width="30" customWidth="1" min="6" max="6"/>
  </cols>
  <sheetData>
    <row r="1" ht="30" customHeight="1">
      <c r="A1" s="1" t="inlineStr">
        <is>
          <t>CRUSCOTTO PARAMETRI DEL MODELLO</t>
        </is>
      </c>
    </row>
    <row r="2">
      <c r="A2" s="10" t="inlineStr">
        <is>
          <t>VOLUMI DI VENDITA (MEDIA GIORNALIERA)</t>
        </is>
      </c>
    </row>
    <row r="3">
      <c r="A3" s="11" t="inlineStr">
        <is>
          <t>Descrizione</t>
        </is>
      </c>
      <c r="B3" s="11" t="inlineStr">
        <is>
          <t>Valore Base</t>
        </is>
      </c>
      <c r="C3" s="11" t="inlineStr">
        <is>
          <t>Unità</t>
        </is>
      </c>
      <c r="D3" s="11" t="inlineStr">
        <is>
          <t>Pessimistico</t>
        </is>
      </c>
      <c r="E3" s="11" t="inlineStr">
        <is>
          <t>Ottimistico</t>
        </is>
      </c>
    </row>
    <row r="4">
      <c r="A4" t="inlineStr">
        <is>
          <t>Piatti venduti in store</t>
        </is>
      </c>
      <c r="B4" s="12" t="n">
        <v>250</v>
      </c>
      <c r="C4" t="inlineStr">
        <is>
          <t>pz/giorno</t>
        </is>
      </c>
      <c r="D4" s="12" t="n">
        <v>200</v>
      </c>
      <c r="E4" s="12" t="n">
        <v>400</v>
      </c>
    </row>
    <row r="5">
      <c r="A5" t="inlineStr">
        <is>
          <t>Piatti venduti in delivery</t>
        </is>
      </c>
      <c r="B5" s="12" t="n">
        <v>120</v>
      </c>
      <c r="C5" t="inlineStr">
        <is>
          <t>pz/giorno</t>
        </is>
      </c>
      <c r="D5" s="12" t="n">
        <v>80</v>
      </c>
      <c r="E5" s="12" t="n">
        <v>180</v>
      </c>
    </row>
    <row r="6">
      <c r="A6" t="inlineStr">
        <is>
          <t>Bevande (bibite)</t>
        </is>
      </c>
      <c r="B6" s="12" t="n">
        <v>150</v>
      </c>
      <c r="C6" t="inlineStr">
        <is>
          <t>pz/giorno</t>
        </is>
      </c>
      <c r="D6" s="12" t="n">
        <v>100</v>
      </c>
      <c r="E6" s="12" t="n">
        <v>220</v>
      </c>
    </row>
    <row r="7">
      <c r="A7" t="inlineStr">
        <is>
          <t>Bevande (acqua)</t>
        </is>
      </c>
      <c r="B7" s="12" t="n">
        <v>250</v>
      </c>
      <c r="C7" t="inlineStr">
        <is>
          <t>pz/giorno</t>
        </is>
      </c>
      <c r="D7" s="12" t="n">
        <v>180</v>
      </c>
      <c r="E7" s="12" t="n">
        <v>320</v>
      </c>
    </row>
    <row r="9">
      <c r="A9" s="10" t="inlineStr">
        <is>
          <t>PREZZI DI VENDITA E COSTI VARIABILI (PER UNITÀ)</t>
        </is>
      </c>
    </row>
    <row r="10">
      <c r="A10" s="11" t="inlineStr">
        <is>
          <t>Descrizione</t>
        </is>
      </c>
      <c r="B10" s="11" t="inlineStr">
        <is>
          <t>Prezzo IVA Incl. (€) - INPUT</t>
        </is>
      </c>
      <c r="C10" s="11" t="inlineStr">
        <is>
          <t>Prezzo IVA Escl. (€) - CALCOLATO</t>
        </is>
      </c>
      <c r="D10" s="11" t="inlineStr">
        <is>
          <t>Costo Unità (€)</t>
        </is>
      </c>
      <c r="E10" s="11" t="inlineStr">
        <is>
          <t>% Margine</t>
        </is>
      </c>
    </row>
    <row r="11">
      <c r="A11" t="inlineStr">
        <is>
          <t>Piatto pronto</t>
        </is>
      </c>
      <c r="B11" s="45" t="n">
        <v>8</v>
      </c>
      <c r="C11" s="45">
        <f>B11/(1+$B$35)</f>
        <v/>
      </c>
      <c r="D11" s="45" t="n">
        <v>3.5</v>
      </c>
      <c r="E11" s="14">
        <f>IFERROR((C11-D11)/C11,0)</f>
        <v/>
      </c>
    </row>
    <row r="12">
      <c r="A12" t="inlineStr">
        <is>
          <t>Bevanda (bibita)</t>
        </is>
      </c>
      <c r="B12" s="45" t="n">
        <v>2.5</v>
      </c>
      <c r="C12" s="45">
        <f>B12/(1+$B$35)</f>
        <v/>
      </c>
      <c r="D12" s="45" t="n">
        <v>0.6</v>
      </c>
      <c r="E12" s="14">
        <f>IFERROR((C12-D12)/C12,0)</f>
        <v/>
      </c>
    </row>
    <row r="13">
      <c r="A13" t="inlineStr">
        <is>
          <t>Bevanda (acqua)</t>
        </is>
      </c>
      <c r="B13" s="45" t="n">
        <v>1</v>
      </c>
      <c r="C13" s="45">
        <f>B13/(1+$B$35)</f>
        <v/>
      </c>
      <c r="D13" s="45" t="n">
        <v>0.15</v>
      </c>
      <c r="E13" s="14">
        <f>IFERROR((C13-D13)/C13,0)</f>
        <v/>
      </c>
    </row>
    <row r="15">
      <c r="A15" s="10" t="inlineStr">
        <is>
          <t>COSTI OPERATIVI (OPEX MENSILI)</t>
        </is>
      </c>
    </row>
    <row r="16">
      <c r="A16" s="11" t="inlineStr">
        <is>
          <t>Descrizione</t>
        </is>
      </c>
      <c r="B16" s="11" t="inlineStr">
        <is>
          <t>Importo Mensile (€)</t>
        </is>
      </c>
      <c r="C16" s="11" t="inlineStr">
        <is>
          <t>Note</t>
        </is>
      </c>
    </row>
    <row r="17">
      <c r="A17" t="inlineStr">
        <is>
          <t>Affitto locale</t>
        </is>
      </c>
      <c r="B17" s="46" t="n">
        <v>3000</v>
      </c>
      <c r="C17" t="inlineStr">
        <is>
          <t>Locale 25mq in zona strategica</t>
        </is>
      </c>
    </row>
    <row r="18">
      <c r="A18" t="inlineStr">
        <is>
          <t>Personale (costo azienda)</t>
        </is>
      </c>
      <c r="B18" s="46">
        <f>B20*B19</f>
        <v/>
      </c>
      <c r="C18" t="inlineStr">
        <is>
          <t>Calcolato: addetti x costo per addetto</t>
        </is>
      </c>
    </row>
    <row r="19">
      <c r="A19" t="inlineStr">
        <is>
          <t>Numero addetti</t>
        </is>
      </c>
      <c r="B19" s="12" t="n">
        <v>2</v>
      </c>
      <c r="C19" t="inlineStr">
        <is>
          <t>Turni per coprire 10-12 ore</t>
        </is>
      </c>
    </row>
    <row r="20">
      <c r="A20" t="inlineStr">
        <is>
          <t>Costo lordo per addetto</t>
        </is>
      </c>
      <c r="B20" s="46" t="n">
        <v>3400</v>
      </c>
      <c r="C20" t="inlineStr">
        <is>
          <t>Include stipendio, tasse, contributi</t>
        </is>
      </c>
    </row>
    <row r="21">
      <c r="A21" t="inlineStr">
        <is>
          <t>Trasporti e logistica</t>
        </is>
      </c>
      <c r="B21" s="46" t="n">
        <v>800</v>
      </c>
      <c r="C21" t="inlineStr">
        <is>
          <t>Consegna giornaliera materie prime</t>
        </is>
      </c>
    </row>
    <row r="22">
      <c r="A22" t="inlineStr">
        <is>
          <t>Utenze (energia, acqua, web)</t>
        </is>
      </c>
      <c r="B22" s="46" t="n">
        <v>700</v>
      </c>
      <c r="C22" t="inlineStr">
        <is>
          <t>Consumo intensivo microonde</t>
        </is>
      </c>
    </row>
    <row r="23">
      <c r="A23" t="inlineStr">
        <is>
          <t>Marketing e pubblicità</t>
        </is>
      </c>
      <c r="B23" s="46" t="n">
        <v>1500</v>
      </c>
      <c r="C23" t="inlineStr">
        <is>
          <t>Campagne social, local marketing</t>
        </is>
      </c>
    </row>
    <row r="24">
      <c r="A24" t="inlineStr">
        <is>
          <t>Assicurazioni e varie</t>
        </is>
      </c>
      <c r="B24" s="46" t="n">
        <v>500</v>
      </c>
      <c r="C24" t="inlineStr">
        <is>
          <t>RC, commercialista, etc.</t>
        </is>
      </c>
    </row>
    <row r="26">
      <c r="A26" s="10" t="inlineStr">
        <is>
          <t>PARAMETRI GENERALI</t>
        </is>
      </c>
    </row>
    <row r="27">
      <c r="A27" s="11" t="inlineStr">
        <is>
          <t>Descrizione</t>
        </is>
      </c>
      <c r="B27" s="11" t="inlineStr">
        <is>
          <t>Valore</t>
        </is>
      </c>
      <c r="C27" s="11" t="inlineStr">
        <is>
          <t>Unità</t>
        </is>
      </c>
    </row>
    <row r="28">
      <c r="A28" t="inlineStr">
        <is>
          <t>Giorni lavorativi al mese</t>
        </is>
      </c>
      <c r="B28" s="12" t="n">
        <v>30</v>
      </c>
      <c r="C28" t="inlineStr">
        <is>
          <t>giorni</t>
        </is>
      </c>
    </row>
    <row r="29">
      <c r="A29" t="inlineStr">
        <is>
          <t>Commissione delivery</t>
        </is>
      </c>
      <c r="B29" s="14" t="n">
        <v>0.28</v>
      </c>
      <c r="C29" t="inlineStr">
        <is>
          <t>% sul prezzo</t>
        </is>
      </c>
    </row>
    <row r="31">
      <c r="A31" t="inlineStr">
        <is>
          <t>Altri ricavi mensili</t>
        </is>
      </c>
      <c r="B31" s="46" t="n">
        <v>0</v>
      </c>
      <c r="C31" t="inlineStr">
        <is>
          <t>€</t>
        </is>
      </c>
    </row>
    <row r="32">
      <c r="A32" t="inlineStr">
        <is>
          <t>Sconti su ricavi (%)</t>
        </is>
      </c>
      <c r="B32" s="14" t="n">
        <v>0</v>
      </c>
      <c r="C32" t="inlineStr">
        <is>
          <t>% sul ricavo</t>
        </is>
      </c>
    </row>
    <row r="33">
      <c r="A33" s="10" t="inlineStr">
        <is>
          <t>GARANZIE DI LOCAZIONE</t>
        </is>
      </c>
    </row>
    <row r="34">
      <c r="A34" s="11" t="inlineStr">
        <is>
          <t>Descrizione</t>
        </is>
      </c>
      <c r="B34" s="11" t="inlineStr">
        <is>
          <t>Valore</t>
        </is>
      </c>
      <c r="C34" s="11" t="inlineStr">
        <is>
          <t>Unità/Note</t>
        </is>
      </c>
    </row>
    <row r="35">
      <c r="A35" t="inlineStr">
        <is>
          <t>IVA</t>
        </is>
      </c>
      <c r="B35" s="14" t="n">
        <v>0.1</v>
      </c>
      <c r="C35" t="inlineStr">
        <is>
          <t>€ annui</t>
        </is>
      </c>
    </row>
    <row r="36">
      <c r="A36" t="inlineStr">
        <is>
          <t>Mensilità richieste a Garanzia</t>
        </is>
      </c>
      <c r="B36" s="12" t="n">
        <v>12</v>
      </c>
      <c r="C36" t="inlineStr">
        <is>
          <t>mesi</t>
        </is>
      </c>
    </row>
    <row r="37">
      <c r="A37" t="inlineStr">
        <is>
          <t>Importo da Garantire</t>
        </is>
      </c>
      <c r="B37" s="46">
        <f>Parametri!B17*B36</f>
        <v/>
      </c>
      <c r="C37" t="inlineStr">
        <is>
          <t>€</t>
        </is>
      </c>
    </row>
    <row r="38">
      <c r="A38" t="inlineStr">
        <is>
          <t>Costo % Annuo Fideiussione</t>
        </is>
      </c>
      <c r="B38" s="14" t="n">
        <v>0.015</v>
      </c>
      <c r="C38" t="inlineStr">
        <is>
          <t>% annuo</t>
        </is>
      </c>
    </row>
  </sheetData>
  <mergeCells count="6">
    <mergeCell ref="A2:F2"/>
    <mergeCell ref="A33:F33"/>
    <mergeCell ref="A1:F1"/>
    <mergeCell ref="A9:F9"/>
    <mergeCell ref="A26:F26"/>
    <mergeCell ref="A15:F15"/>
  </mergeCells>
  <dataValidations count="7">
    <dataValidation sqref="B4:B7" showDropDown="0" showInputMessage="0" showErrorMessage="0" allowBlank="1" type="whole" operator="greaterThanOrEqual">
      <formula1>0</formula1>
    </dataValidation>
    <dataValidation sqref="C11:C13" showDropDown="0" showInputMessage="0" showErrorMessage="0" allowBlank="1" type="decimal" operator="greaterThanOrEqual">
      <formula1>0</formula1>
    </dataValidation>
    <dataValidation sqref="D11:D13" showDropDown="0" showInputMessage="0" showErrorMessage="0" allowBlank="1" type="decimal" operator="greaterThanOrEqual">
      <formula1>0</formula1>
    </dataValidation>
    <dataValidation sqref="B28" showDropDown="0" showInputMessage="0" showErrorMessage="0" allowBlank="0" type="whole" operator="between">
      <formula1>1</formula1>
      <formula2>31</formula2>
    </dataValidation>
    <dataValidation sqref="B29 B38" showDropDown="0" showInputMessage="0" showErrorMessage="0" allowBlank="0" type="decimal" operator="between">
      <formula1>0</formula1>
      <formula2>1</formula2>
    </dataValidation>
    <dataValidation sqref="B31" showDropDown="0" showInputMessage="0" showErrorMessage="0" allowBlank="1" type="decimal" operator="greaterThanOrEqual">
      <formula1>0</formula1>
    </dataValidation>
    <dataValidation sqref="B32" showDropDown="0" showInputMessage="0" showErrorMessage="0" allowBlank="0" type="decimal" operator="between">
      <formula1>0</formula1>
      <formula2>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30" customHeight="1">
      <c r="A1" s="1" t="inlineStr">
        <is>
          <t>PROFIT &amp; LOSS MENSILE CON RAMP-UP (COLLEGATO AI PARAMETRI)</t>
        </is>
      </c>
    </row>
    <row r="3">
      <c r="A3" s="11" t="inlineStr">
        <is>
          <t>Voce</t>
        </is>
      </c>
      <c r="B3" s="11" t="inlineStr">
        <is>
          <t>Mese 1</t>
        </is>
      </c>
      <c r="C3" s="11" t="inlineStr">
        <is>
          <t>Mese 2</t>
        </is>
      </c>
      <c r="D3" s="11" t="inlineStr">
        <is>
          <t>Mese 3</t>
        </is>
      </c>
      <c r="E3" s="11" t="inlineStr">
        <is>
          <t>Mese 4</t>
        </is>
      </c>
      <c r="F3" s="11" t="inlineStr">
        <is>
          <t>Mese 5</t>
        </is>
      </c>
      <c r="G3" s="11" t="inlineStr">
        <is>
          <t>Mese 6</t>
        </is>
      </c>
      <c r="H3" s="11" t="inlineStr">
        <is>
          <t>Mese 7</t>
        </is>
      </c>
      <c r="I3" s="11" t="inlineStr">
        <is>
          <t>Mese 8</t>
        </is>
      </c>
      <c r="J3" s="11" t="inlineStr">
        <is>
          <t>Mese 9</t>
        </is>
      </c>
      <c r="K3" s="11" t="inlineStr">
        <is>
          <t>Mese 10</t>
        </is>
      </c>
      <c r="L3" s="11" t="inlineStr">
        <is>
          <t>Mese 11</t>
        </is>
      </c>
      <c r="M3" s="11" t="inlineStr">
        <is>
          <t>Mese 12</t>
        </is>
      </c>
    </row>
    <row r="4">
      <c r="A4" s="16" t="inlineStr">
        <is>
          <t>RICAVI</t>
        </is>
      </c>
    </row>
    <row r="5">
      <c r="A5" t="inlineStr">
        <is>
          <t>Piatti pronti (in store)</t>
        </is>
      </c>
      <c r="B5" s="46">
        <f>Parametri!B4*Parametri!B28*Parametri!C11*0.3</f>
        <v/>
      </c>
      <c r="C5" s="46">
        <f>Parametri!B4*Parametri!B28*Parametri!C11*0.3</f>
        <v/>
      </c>
      <c r="D5" s="46">
        <f>Parametri!B4*Parametri!B28*Parametri!C11*0.6</f>
        <v/>
      </c>
      <c r="E5" s="46">
        <f>Parametri!B4*Parametri!B28*Parametri!C11*0.6</f>
        <v/>
      </c>
      <c r="F5" s="46">
        <f>Parametri!B4*Parametri!B28*Parametri!C11*0.6</f>
        <v/>
      </c>
      <c r="G5" s="46">
        <f>Parametri!B4*Parametri!B28*Parametri!C11*0.6</f>
        <v/>
      </c>
      <c r="H5" s="46">
        <f>Parametri!B4*Parametri!B28*Parametri!C11*0.6</f>
        <v/>
      </c>
      <c r="I5" s="46">
        <f>Parametri!B4*Parametri!B28*Parametri!C11*0.6</f>
        <v/>
      </c>
      <c r="J5" s="46">
        <f>Parametri!B4*Parametri!B28*Parametri!C11*0.6</f>
        <v/>
      </c>
      <c r="K5" s="46">
        <f>Parametri!B4*Parametri!B28*Parametri!C11*1.0</f>
        <v/>
      </c>
      <c r="L5" s="46">
        <f>Parametri!B4*Parametri!B28*Parametri!C11*1.0</f>
        <v/>
      </c>
      <c r="M5" s="46">
        <f>Parametri!B4*Parametri!B28*Parametri!C11*1.0</f>
        <v/>
      </c>
    </row>
    <row r="6">
      <c r="A6" s="17" t="inlineStr">
        <is>
          <t>Piatti pronti (delivery)</t>
        </is>
      </c>
      <c r="B6" s="47">
        <f>Parametri!B5*Parametri!B28*Parametri!C11*0.3</f>
        <v/>
      </c>
      <c r="C6" s="47">
        <f>Parametri!B5*Parametri!B28*Parametri!C11*0.3</f>
        <v/>
      </c>
      <c r="D6" s="47">
        <f>Parametri!B5*Parametri!B28*Parametri!C11*0.6</f>
        <v/>
      </c>
      <c r="E6" s="47">
        <f>Parametri!B5*Parametri!B28*Parametri!C11*0.6</f>
        <v/>
      </c>
      <c r="F6" s="47">
        <f>Parametri!B5*Parametri!B28*Parametri!C11*0.6</f>
        <v/>
      </c>
      <c r="G6" s="47">
        <f>Parametri!B5*Parametri!B28*Parametri!C11*0.6</f>
        <v/>
      </c>
      <c r="H6" s="47">
        <f>Parametri!B5*Parametri!B28*Parametri!C11*0.6</f>
        <v/>
      </c>
      <c r="I6" s="47">
        <f>Parametri!B5*Parametri!B28*Parametri!C11*0.6</f>
        <v/>
      </c>
      <c r="J6" s="47">
        <f>Parametri!B5*Parametri!B28*Parametri!C11*0.6</f>
        <v/>
      </c>
      <c r="K6" s="47">
        <f>Parametri!B5*Parametri!B28*Parametri!C11*1.0</f>
        <v/>
      </c>
      <c r="L6" s="47">
        <f>Parametri!B5*Parametri!B28*Parametri!C11*1.0</f>
        <v/>
      </c>
      <c r="M6" s="47">
        <f>Parametri!B5*Parametri!B28*Parametri!C11*1.0</f>
        <v/>
      </c>
    </row>
    <row r="7">
      <c r="A7" t="inlineStr">
        <is>
          <t>Bevande (bibite)</t>
        </is>
      </c>
      <c r="B7" s="46">
        <f>Parametri!B6*Parametri!B28*Parametri!C12*0.3</f>
        <v/>
      </c>
      <c r="C7" s="46">
        <f>Parametri!B6*Parametri!B28*Parametri!C12*0.3</f>
        <v/>
      </c>
      <c r="D7" s="46">
        <f>Parametri!B6*Parametri!B28*Parametri!C12*0.6</f>
        <v/>
      </c>
      <c r="E7" s="46">
        <f>Parametri!B6*Parametri!B28*Parametri!C12*0.6</f>
        <v/>
      </c>
      <c r="F7" s="46">
        <f>Parametri!B6*Parametri!B28*Parametri!C12*0.6</f>
        <v/>
      </c>
      <c r="G7" s="46">
        <f>Parametri!B6*Parametri!B28*Parametri!C12*0.6</f>
        <v/>
      </c>
      <c r="H7" s="46">
        <f>Parametri!B6*Parametri!B28*Parametri!C12*0.6</f>
        <v/>
      </c>
      <c r="I7" s="46">
        <f>Parametri!B6*Parametri!B28*Parametri!C12*0.6</f>
        <v/>
      </c>
      <c r="J7" s="46">
        <f>Parametri!B6*Parametri!B28*Parametri!C12*0.6</f>
        <v/>
      </c>
      <c r="K7" s="46">
        <f>Parametri!B6*Parametri!B28*Parametri!C12*1.0</f>
        <v/>
      </c>
      <c r="L7" s="46">
        <f>Parametri!B6*Parametri!B28*Parametri!C12*1.0</f>
        <v/>
      </c>
      <c r="M7" s="46">
        <f>Parametri!B6*Parametri!B28*Parametri!C12*1.0</f>
        <v/>
      </c>
    </row>
    <row r="8">
      <c r="A8" s="17" t="inlineStr">
        <is>
          <t>Bevande (acqua)</t>
        </is>
      </c>
      <c r="B8" s="47">
        <f>Parametri!B7*Parametri!B28*Parametri!C13*0.3</f>
        <v/>
      </c>
      <c r="C8" s="47">
        <f>Parametri!B7*Parametri!B28*Parametri!C13*0.3</f>
        <v/>
      </c>
      <c r="D8" s="47">
        <f>Parametri!B7*Parametri!B28*Parametri!C13*0.6</f>
        <v/>
      </c>
      <c r="E8" s="47">
        <f>Parametri!B7*Parametri!B28*Parametri!C13*0.6</f>
        <v/>
      </c>
      <c r="F8" s="47">
        <f>Parametri!B7*Parametri!B28*Parametri!C13*0.6</f>
        <v/>
      </c>
      <c r="G8" s="47">
        <f>Parametri!B7*Parametri!B28*Parametri!C13*0.6</f>
        <v/>
      </c>
      <c r="H8" s="47">
        <f>Parametri!B7*Parametri!B28*Parametri!C13*0.6</f>
        <v/>
      </c>
      <c r="I8" s="47">
        <f>Parametri!B7*Parametri!B28*Parametri!C13*0.6</f>
        <v/>
      </c>
      <c r="J8" s="47">
        <f>Parametri!B7*Parametri!B28*Parametri!C13*0.6</f>
        <v/>
      </c>
      <c r="K8" s="47">
        <f>Parametri!B7*Parametri!B28*Parametri!C13*1.0</f>
        <v/>
      </c>
      <c r="L8" s="47">
        <f>Parametri!B7*Parametri!B28*Parametri!C13*1.0</f>
        <v/>
      </c>
      <c r="M8" s="47">
        <f>Parametri!B7*Parametri!B28*Parametri!C13*1.0</f>
        <v/>
      </c>
    </row>
    <row r="9">
      <c r="A9" t="inlineStr">
        <is>
          <t>Altri ricavi</t>
        </is>
      </c>
      <c r="B9" s="46">
        <f>Parametri!B31</f>
        <v/>
      </c>
      <c r="C9" s="46">
        <f>Parametri!B31</f>
        <v/>
      </c>
      <c r="D9" s="46">
        <f>Parametri!B31</f>
        <v/>
      </c>
      <c r="E9" s="46">
        <f>Parametri!B31</f>
        <v/>
      </c>
      <c r="F9" s="46">
        <f>Parametri!B31</f>
        <v/>
      </c>
      <c r="G9" s="46">
        <f>Parametri!B31</f>
        <v/>
      </c>
      <c r="H9" s="46">
        <f>Parametri!B31</f>
        <v/>
      </c>
      <c r="I9" s="46">
        <f>Parametri!B31</f>
        <v/>
      </c>
      <c r="J9" s="46">
        <f>Parametri!B31</f>
        <v/>
      </c>
      <c r="K9" s="46">
        <f>Parametri!B31</f>
        <v/>
      </c>
      <c r="L9" s="46">
        <f>Parametri!B31</f>
        <v/>
      </c>
      <c r="M9" s="46">
        <f>Parametri!B31</f>
        <v/>
      </c>
    </row>
    <row r="10">
      <c r="A10" s="17" t="inlineStr">
        <is>
          <t>Sconti su ricavi</t>
        </is>
      </c>
      <c r="B10" s="47">
        <f>-SUM(B5:B9)*Parametri!B32</f>
        <v/>
      </c>
      <c r="C10" s="47">
        <f>-SUM(C5:C9)*Parametri!B32</f>
        <v/>
      </c>
      <c r="D10" s="47">
        <f>-SUM(D5:D9)*Parametri!B32</f>
        <v/>
      </c>
      <c r="E10" s="47">
        <f>-SUM(E5:E9)*Parametri!B32</f>
        <v/>
      </c>
      <c r="F10" s="47">
        <f>-SUM(F5:F9)*Parametri!B32</f>
        <v/>
      </c>
      <c r="G10" s="47">
        <f>-SUM(G5:G9)*Parametri!B32</f>
        <v/>
      </c>
      <c r="H10" s="47">
        <f>-SUM(H5:H9)*Parametri!B32</f>
        <v/>
      </c>
      <c r="I10" s="47">
        <f>-SUM(I5:I9)*Parametri!B32</f>
        <v/>
      </c>
      <c r="J10" s="47">
        <f>-SUM(J5:J9)*Parametri!B32</f>
        <v/>
      </c>
      <c r="K10" s="47">
        <f>-SUM(K5:K9)*Parametri!B32</f>
        <v/>
      </c>
      <c r="L10" s="47">
        <f>-SUM(L5:L9)*Parametri!B32</f>
        <v/>
      </c>
      <c r="M10" s="47">
        <f>-SUM(M5:M9)*Parametri!B32</f>
        <v/>
      </c>
    </row>
    <row r="11">
      <c r="A11" s="19" t="inlineStr">
        <is>
          <t>Ricavi Totali</t>
        </is>
      </c>
      <c r="B11" s="48">
        <f>SUM(B5:B10)</f>
        <v/>
      </c>
      <c r="C11" s="48">
        <f>SUM(C5:C10)</f>
        <v/>
      </c>
      <c r="D11" s="48">
        <f>SUM(D5:D10)</f>
        <v/>
      </c>
      <c r="E11" s="48">
        <f>SUM(E5:E10)</f>
        <v/>
      </c>
      <c r="F11" s="48">
        <f>SUM(F5:F10)</f>
        <v/>
      </c>
      <c r="G11" s="48">
        <f>SUM(G5:G10)</f>
        <v/>
      </c>
      <c r="H11" s="48">
        <f>SUM(H5:H10)</f>
        <v/>
      </c>
      <c r="I11" s="48">
        <f>SUM(I5:I10)</f>
        <v/>
      </c>
      <c r="J11" s="48">
        <f>SUM(J5:J10)</f>
        <v/>
      </c>
      <c r="K11" s="48">
        <f>SUM(K5:K10)</f>
        <v/>
      </c>
      <c r="L11" s="48">
        <f>SUM(L5:L10)</f>
        <v/>
      </c>
      <c r="M11" s="48">
        <f>SUM(M5:M10)</f>
        <v/>
      </c>
    </row>
    <row r="13">
      <c r="A13" s="16" t="inlineStr">
        <is>
          <t>COSTI VARIABILI (COGS)</t>
        </is>
      </c>
    </row>
    <row r="14">
      <c r="A14" s="17" t="inlineStr">
        <is>
          <t>Costo piatti pronti</t>
        </is>
      </c>
      <c r="B14" s="47">
        <f>(Parametri!B4+Parametri!B5)*Parametri!B28*Parametri!D11*0.3</f>
        <v/>
      </c>
      <c r="C14" s="47">
        <f>(Parametri!B4+Parametri!B5)*Parametri!B28*Parametri!D11*0.3</f>
        <v/>
      </c>
      <c r="D14" s="47">
        <f>(Parametri!B4+Parametri!B5)*Parametri!B28*Parametri!D11*0.6</f>
        <v/>
      </c>
      <c r="E14" s="47">
        <f>(Parametri!B4+Parametri!B5)*Parametri!B28*Parametri!D11*0.6</f>
        <v/>
      </c>
      <c r="F14" s="47">
        <f>(Parametri!B4+Parametri!B5)*Parametri!B28*Parametri!D11*0.6</f>
        <v/>
      </c>
      <c r="G14" s="47">
        <f>(Parametri!B4+Parametri!B5)*Parametri!B28*Parametri!D11*0.6</f>
        <v/>
      </c>
      <c r="H14" s="47">
        <f>(Parametri!B4+Parametri!B5)*Parametri!B28*Parametri!D11*0.6</f>
        <v/>
      </c>
      <c r="I14" s="47">
        <f>(Parametri!B4+Parametri!B5)*Parametri!B28*Parametri!D11*0.6</f>
        <v/>
      </c>
      <c r="J14" s="47">
        <f>(Parametri!B4+Parametri!B5)*Parametri!B28*Parametri!D11*0.6</f>
        <v/>
      </c>
      <c r="K14" s="47">
        <f>(Parametri!B4+Parametri!B5)*Parametri!B28*Parametri!D11*1.0</f>
        <v/>
      </c>
      <c r="L14" s="47">
        <f>(Parametri!B4+Parametri!B5)*Parametri!B28*Parametri!D11*1.0</f>
        <v/>
      </c>
      <c r="M14" s="47">
        <f>(Parametri!B4+Parametri!B5)*Parametri!B28*Parametri!D11*1.0</f>
        <v/>
      </c>
    </row>
    <row r="15">
      <c r="A15" t="inlineStr">
        <is>
          <t>Costo bevande (bibite)</t>
        </is>
      </c>
      <c r="B15" s="46">
        <f>Parametri!B6*Parametri!B28*Parametri!D12*0.3</f>
        <v/>
      </c>
      <c r="C15" s="46">
        <f>Parametri!B6*Parametri!B28*Parametri!D12*0.3</f>
        <v/>
      </c>
      <c r="D15" s="46">
        <f>Parametri!B6*Parametri!B28*Parametri!D12*0.6</f>
        <v/>
      </c>
      <c r="E15" s="46">
        <f>Parametri!B6*Parametri!B28*Parametri!D12*0.6</f>
        <v/>
      </c>
      <c r="F15" s="46">
        <f>Parametri!B6*Parametri!B28*Parametri!D12*0.6</f>
        <v/>
      </c>
      <c r="G15" s="46">
        <f>Parametri!B6*Parametri!B28*Parametri!D12*0.6</f>
        <v/>
      </c>
      <c r="H15" s="46">
        <f>Parametri!B6*Parametri!B28*Parametri!D12*0.6</f>
        <v/>
      </c>
      <c r="I15" s="46">
        <f>Parametri!B6*Parametri!B28*Parametri!D12*0.6</f>
        <v/>
      </c>
      <c r="J15" s="46">
        <f>Parametri!B6*Parametri!B28*Parametri!D12*0.6</f>
        <v/>
      </c>
      <c r="K15" s="46">
        <f>Parametri!B6*Parametri!B28*Parametri!D12*1.0</f>
        <v/>
      </c>
      <c r="L15" s="46">
        <f>Parametri!B6*Parametri!B28*Parametri!D12*1.0</f>
        <v/>
      </c>
      <c r="M15" s="46">
        <f>Parametri!B6*Parametri!B28*Parametri!D12*1.0</f>
        <v/>
      </c>
    </row>
    <row r="16">
      <c r="A16" s="17" t="inlineStr">
        <is>
          <t>Costo bevande (acqua)</t>
        </is>
      </c>
      <c r="B16" s="47">
        <f>Parametri!B7*Parametri!B28*Parametri!D13*0.3</f>
        <v/>
      </c>
      <c r="C16" s="47">
        <f>Parametri!B7*Parametri!B28*Parametri!D13*0.3</f>
        <v/>
      </c>
      <c r="D16" s="47">
        <f>Parametri!B7*Parametri!B28*Parametri!D13*0.6</f>
        <v/>
      </c>
      <c r="E16" s="47">
        <f>Parametri!B7*Parametri!B28*Parametri!D13*0.6</f>
        <v/>
      </c>
      <c r="F16" s="47">
        <f>Parametri!B7*Parametri!B28*Parametri!D13*0.6</f>
        <v/>
      </c>
      <c r="G16" s="47">
        <f>Parametri!B7*Parametri!B28*Parametri!D13*0.6</f>
        <v/>
      </c>
      <c r="H16" s="47">
        <f>Parametri!B7*Parametri!B28*Parametri!D13*0.6</f>
        <v/>
      </c>
      <c r="I16" s="47">
        <f>Parametri!B7*Parametri!B28*Parametri!D13*0.6</f>
        <v/>
      </c>
      <c r="J16" s="47">
        <f>Parametri!B7*Parametri!B28*Parametri!D13*0.6</f>
        <v/>
      </c>
      <c r="K16" s="47">
        <f>Parametri!B7*Parametri!B28*Parametri!D13*1.0</f>
        <v/>
      </c>
      <c r="L16" s="47">
        <f>Parametri!B7*Parametri!B28*Parametri!D13*1.0</f>
        <v/>
      </c>
      <c r="M16" s="47">
        <f>Parametri!B7*Parametri!B28*Parametri!D13*1.0</f>
        <v/>
      </c>
    </row>
    <row r="17">
      <c r="A17" s="19" t="inlineStr">
        <is>
          <t>Costi Variabili Totali (COGS)</t>
        </is>
      </c>
      <c r="B17" s="48">
        <f>SUM(B14:B16)</f>
        <v/>
      </c>
      <c r="C17" s="48">
        <f>SUM(C14:C16)</f>
        <v/>
      </c>
      <c r="D17" s="48">
        <f>SUM(D14:D16)</f>
        <v/>
      </c>
      <c r="E17" s="48">
        <f>SUM(E14:E16)</f>
        <v/>
      </c>
      <c r="F17" s="48">
        <f>SUM(F14:F16)</f>
        <v/>
      </c>
      <c r="G17" s="48">
        <f>SUM(G14:G16)</f>
        <v/>
      </c>
      <c r="H17" s="48">
        <f>SUM(H14:H16)</f>
        <v/>
      </c>
      <c r="I17" s="48">
        <f>SUM(I14:I16)</f>
        <v/>
      </c>
      <c r="J17" s="48">
        <f>SUM(J14:J16)</f>
        <v/>
      </c>
      <c r="K17" s="48">
        <f>SUM(K14:K16)</f>
        <v/>
      </c>
      <c r="L17" s="48">
        <f>SUM(L14:L16)</f>
        <v/>
      </c>
      <c r="M17" s="48">
        <f>SUM(M14:M16)</f>
        <v/>
      </c>
    </row>
    <row r="19">
      <c r="A19" s="21" t="inlineStr">
        <is>
          <t>Margine di Contribuzione (Gross Margin)</t>
        </is>
      </c>
      <c r="B19" s="49">
        <f>B11-B17</f>
        <v/>
      </c>
      <c r="C19" s="49">
        <f>C11-C17</f>
        <v/>
      </c>
      <c r="D19" s="49">
        <f>D11-D17</f>
        <v/>
      </c>
      <c r="E19" s="49">
        <f>E11-E17</f>
        <v/>
      </c>
      <c r="F19" s="49">
        <f>F11-F17</f>
        <v/>
      </c>
      <c r="G19" s="49">
        <f>G11-G17</f>
        <v/>
      </c>
      <c r="H19" s="49">
        <f>H11-H17</f>
        <v/>
      </c>
      <c r="I19" s="49">
        <f>I11-I17</f>
        <v/>
      </c>
      <c r="J19" s="49">
        <f>J11-J17</f>
        <v/>
      </c>
      <c r="K19" s="49">
        <f>K11-K17</f>
        <v/>
      </c>
      <c r="L19" s="49">
        <f>L11-L17</f>
        <v/>
      </c>
      <c r="M19" s="49">
        <f>M11-M17</f>
        <v/>
      </c>
    </row>
    <row r="21">
      <c r="A21" s="16" t="inlineStr">
        <is>
          <t>COSTI OPERATIVI (OPEX)</t>
        </is>
      </c>
    </row>
    <row r="22">
      <c r="A22" t="inlineStr">
        <is>
          <t>Affitto locale</t>
        </is>
      </c>
      <c r="B22" s="46">
        <f>Parametri!B17</f>
        <v/>
      </c>
      <c r="C22" s="46">
        <f>Parametri!B17</f>
        <v/>
      </c>
      <c r="D22" s="46">
        <f>Parametri!B17</f>
        <v/>
      </c>
      <c r="E22" s="46">
        <f>Parametri!B17</f>
        <v/>
      </c>
      <c r="F22" s="46">
        <f>Parametri!B17</f>
        <v/>
      </c>
      <c r="G22" s="46">
        <f>Parametri!B17</f>
        <v/>
      </c>
      <c r="H22" s="46">
        <f>Parametri!B17</f>
        <v/>
      </c>
      <c r="I22" s="46">
        <f>Parametri!B17</f>
        <v/>
      </c>
      <c r="J22" s="46">
        <f>Parametri!B17</f>
        <v/>
      </c>
      <c r="K22" s="46">
        <f>Parametri!B17</f>
        <v/>
      </c>
      <c r="L22" s="46">
        <f>Parametri!B17</f>
        <v/>
      </c>
      <c r="M22" s="46">
        <f>Parametri!B17</f>
        <v/>
      </c>
    </row>
    <row r="23">
      <c r="A23" s="17" t="inlineStr">
        <is>
          <t>Costo Personale</t>
        </is>
      </c>
      <c r="B23" s="47">
        <f>Parametri!B18</f>
        <v/>
      </c>
      <c r="C23" s="47">
        <f>Parametri!B18</f>
        <v/>
      </c>
      <c r="D23" s="47">
        <f>Parametri!B18</f>
        <v/>
      </c>
      <c r="E23" s="47">
        <f>Parametri!B18</f>
        <v/>
      </c>
      <c r="F23" s="47">
        <f>Parametri!B18</f>
        <v/>
      </c>
      <c r="G23" s="47">
        <f>Parametri!B18</f>
        <v/>
      </c>
      <c r="H23" s="47">
        <f>Parametri!B18</f>
        <v/>
      </c>
      <c r="I23" s="47">
        <f>Parametri!B18</f>
        <v/>
      </c>
      <c r="J23" s="47">
        <f>Parametri!B18</f>
        <v/>
      </c>
      <c r="K23" s="47">
        <f>Parametri!B18</f>
        <v/>
      </c>
      <c r="L23" s="47">
        <f>Parametri!B18</f>
        <v/>
      </c>
      <c r="M23" s="47">
        <f>Parametri!B18</f>
        <v/>
      </c>
    </row>
    <row r="24">
      <c r="A24" t="inlineStr">
        <is>
          <t>Trasporti e logistica</t>
        </is>
      </c>
      <c r="B24" s="46">
        <f>Parametri!B21</f>
        <v/>
      </c>
      <c r="C24" s="46">
        <f>Parametri!B21</f>
        <v/>
      </c>
      <c r="D24" s="46">
        <f>Parametri!B21</f>
        <v/>
      </c>
      <c r="E24" s="46">
        <f>Parametri!B21</f>
        <v/>
      </c>
      <c r="F24" s="46">
        <f>Parametri!B21</f>
        <v/>
      </c>
      <c r="G24" s="46">
        <f>Parametri!B21</f>
        <v/>
      </c>
      <c r="H24" s="46">
        <f>Parametri!B21</f>
        <v/>
      </c>
      <c r="I24" s="46">
        <f>Parametri!B21</f>
        <v/>
      </c>
      <c r="J24" s="46">
        <f>Parametri!B21</f>
        <v/>
      </c>
      <c r="K24" s="46">
        <f>Parametri!B21</f>
        <v/>
      </c>
      <c r="L24" s="46">
        <f>Parametri!B21</f>
        <v/>
      </c>
      <c r="M24" s="46">
        <f>Parametri!B21</f>
        <v/>
      </c>
    </row>
    <row r="25">
      <c r="A25" s="17" t="inlineStr">
        <is>
          <t>Utenze</t>
        </is>
      </c>
      <c r="B25" s="47">
        <f>Parametri!B22</f>
        <v/>
      </c>
      <c r="C25" s="47">
        <f>Parametri!B22</f>
        <v/>
      </c>
      <c r="D25" s="47">
        <f>Parametri!B22</f>
        <v/>
      </c>
      <c r="E25" s="47">
        <f>Parametri!B22</f>
        <v/>
      </c>
      <c r="F25" s="47">
        <f>Parametri!B22</f>
        <v/>
      </c>
      <c r="G25" s="47">
        <f>Parametri!B22</f>
        <v/>
      </c>
      <c r="H25" s="47">
        <f>Parametri!B22</f>
        <v/>
      </c>
      <c r="I25" s="47">
        <f>Parametri!B22</f>
        <v/>
      </c>
      <c r="J25" s="47">
        <f>Parametri!B22</f>
        <v/>
      </c>
      <c r="K25" s="47">
        <f>Parametri!B22</f>
        <v/>
      </c>
      <c r="L25" s="47">
        <f>Parametri!B22</f>
        <v/>
      </c>
      <c r="M25" s="47">
        <f>Parametri!B22</f>
        <v/>
      </c>
    </row>
    <row r="26">
      <c r="A26" t="inlineStr">
        <is>
          <t>Marketing e pubblicità</t>
        </is>
      </c>
      <c r="B26" s="46">
        <f>Parametri!B23</f>
        <v/>
      </c>
      <c r="C26" s="46">
        <f>Parametri!B23</f>
        <v/>
      </c>
      <c r="D26" s="46">
        <f>Parametri!B23</f>
        <v/>
      </c>
      <c r="E26" s="46">
        <f>Parametri!B23</f>
        <v/>
      </c>
      <c r="F26" s="46">
        <f>Parametri!B23</f>
        <v/>
      </c>
      <c r="G26" s="46">
        <f>Parametri!B23</f>
        <v/>
      </c>
      <c r="H26" s="46">
        <f>Parametri!B23</f>
        <v/>
      </c>
      <c r="I26" s="46">
        <f>Parametri!B23</f>
        <v/>
      </c>
      <c r="J26" s="46">
        <f>Parametri!B23</f>
        <v/>
      </c>
      <c r="K26" s="46">
        <f>Parametri!B23</f>
        <v/>
      </c>
      <c r="L26" s="46">
        <f>Parametri!B23</f>
        <v/>
      </c>
      <c r="M26" s="46">
        <f>Parametri!B23</f>
        <v/>
      </c>
    </row>
    <row r="27">
      <c r="A27" s="17" t="inlineStr">
        <is>
          <t>Commissioni delivery</t>
        </is>
      </c>
      <c r="B27" s="47">
        <f>B6*Parametri!B29</f>
        <v/>
      </c>
      <c r="C27" s="47">
        <f>C6*Parametri!B29</f>
        <v/>
      </c>
      <c r="D27" s="47">
        <f>D6*Parametri!B29</f>
        <v/>
      </c>
      <c r="E27" s="47">
        <f>E6*Parametri!B29</f>
        <v/>
      </c>
      <c r="F27" s="47">
        <f>F6*Parametri!B29</f>
        <v/>
      </c>
      <c r="G27" s="47">
        <f>G6*Parametri!B29</f>
        <v/>
      </c>
      <c r="H27" s="47">
        <f>H6*Parametri!B29</f>
        <v/>
      </c>
      <c r="I27" s="47">
        <f>I6*Parametri!B29</f>
        <v/>
      </c>
      <c r="J27" s="47">
        <f>J6*Parametri!B29</f>
        <v/>
      </c>
      <c r="K27" s="47">
        <f>K6*Parametri!B29</f>
        <v/>
      </c>
      <c r="L27" s="47">
        <f>L6*Parametri!B29</f>
        <v/>
      </c>
      <c r="M27" s="47">
        <f>M6*Parametri!B29</f>
        <v/>
      </c>
    </row>
    <row r="28">
      <c r="A28" t="inlineStr">
        <is>
          <t>Costo Fideiussione Mensile</t>
        </is>
      </c>
      <c r="B28" s="46">
        <f>(Parametri!B37*Parametri!B38)/12</f>
        <v/>
      </c>
      <c r="C28" s="46">
        <f>(Parametri!B37*Parametri!B38)/12</f>
        <v/>
      </c>
      <c r="D28" s="46">
        <f>(Parametri!B37*Parametri!B38)/12</f>
        <v/>
      </c>
      <c r="E28" s="46">
        <f>(Parametri!B37*Parametri!B38)/12</f>
        <v/>
      </c>
      <c r="F28" s="46">
        <f>(Parametri!B37*Parametri!B38)/12</f>
        <v/>
      </c>
      <c r="G28" s="46">
        <f>(Parametri!B37*Parametri!B38)/12</f>
        <v/>
      </c>
      <c r="H28" s="46">
        <f>(Parametri!B37*Parametri!B38)/12</f>
        <v/>
      </c>
      <c r="I28" s="46">
        <f>(Parametri!B37*Parametri!B38)/12</f>
        <v/>
      </c>
      <c r="J28" s="46">
        <f>(Parametri!B37*Parametri!B38)/12</f>
        <v/>
      </c>
      <c r="K28" s="46">
        <f>(Parametri!B37*Parametri!B38)/12</f>
        <v/>
      </c>
      <c r="L28" s="46">
        <f>(Parametri!B37*Parametri!B38)/12</f>
        <v/>
      </c>
      <c r="M28" s="46">
        <f>(Parametri!B37*Parametri!B38)/12</f>
        <v/>
      </c>
    </row>
    <row r="29">
      <c r="A29" s="17" t="inlineStr">
        <is>
          <t>Assicurazioni e varie</t>
        </is>
      </c>
      <c r="B29" s="47">
        <f>Parametri!B25</f>
        <v/>
      </c>
      <c r="C29" s="47">
        <f>Parametri!B25</f>
        <v/>
      </c>
      <c r="D29" s="47">
        <f>Parametri!B25</f>
        <v/>
      </c>
      <c r="E29" s="47">
        <f>Parametri!B25</f>
        <v/>
      </c>
      <c r="F29" s="47">
        <f>Parametri!B25</f>
        <v/>
      </c>
      <c r="G29" s="47">
        <f>Parametri!B25</f>
        <v/>
      </c>
      <c r="H29" s="47">
        <f>Parametri!B25</f>
        <v/>
      </c>
      <c r="I29" s="47">
        <f>Parametri!B25</f>
        <v/>
      </c>
      <c r="J29" s="47">
        <f>Parametri!B25</f>
        <v/>
      </c>
      <c r="K29" s="47">
        <f>Parametri!B25</f>
        <v/>
      </c>
      <c r="L29" s="47">
        <f>Parametri!B25</f>
        <v/>
      </c>
      <c r="M29" s="47">
        <f>Parametri!B25</f>
        <v/>
      </c>
    </row>
    <row r="30">
      <c r="A30" s="19" t="inlineStr">
        <is>
          <t>Costi Operativi Totali (OPEX)</t>
        </is>
      </c>
      <c r="B30" s="48">
        <f>SUM(B22:B29)</f>
        <v/>
      </c>
      <c r="C30" s="48">
        <f>SUM(C22:C29)</f>
        <v/>
      </c>
      <c r="D30" s="48">
        <f>SUM(D22:D29)</f>
        <v/>
      </c>
      <c r="E30" s="48">
        <f>SUM(E22:E29)</f>
        <v/>
      </c>
      <c r="F30" s="48">
        <f>SUM(F22:F29)</f>
        <v/>
      </c>
      <c r="G30" s="48">
        <f>SUM(G22:G29)</f>
        <v/>
      </c>
      <c r="H30" s="48">
        <f>SUM(H22:H29)</f>
        <v/>
      </c>
      <c r="I30" s="48">
        <f>SUM(I22:I29)</f>
        <v/>
      </c>
      <c r="J30" s="48">
        <f>SUM(J22:J29)</f>
        <v/>
      </c>
      <c r="K30" s="48">
        <f>SUM(K22:K29)</f>
        <v/>
      </c>
      <c r="L30" s="48">
        <f>SUM(L22:L29)</f>
        <v/>
      </c>
      <c r="M30" s="48">
        <f>SUM(M22:M29)</f>
        <v/>
      </c>
    </row>
    <row r="32">
      <c r="A32" s="21" t="inlineStr">
        <is>
          <t>EBITDA (Margine Operativo Lordo)</t>
        </is>
      </c>
      <c r="B32" s="49">
        <f>B19-B30</f>
        <v/>
      </c>
      <c r="C32" s="49">
        <f>C19-C30</f>
        <v/>
      </c>
      <c r="D32" s="49">
        <f>D19-D30</f>
        <v/>
      </c>
      <c r="E32" s="49">
        <f>E19-E30</f>
        <v/>
      </c>
      <c r="F32" s="49">
        <f>F19-F30</f>
        <v/>
      </c>
      <c r="G32" s="49">
        <f>G19-G30</f>
        <v/>
      </c>
      <c r="H32" s="49">
        <f>H19-H30</f>
        <v/>
      </c>
      <c r="I32" s="49">
        <f>I19-I30</f>
        <v/>
      </c>
      <c r="J32" s="49">
        <f>J19-J30</f>
        <v/>
      </c>
      <c r="K32" s="49">
        <f>K19-K30</f>
        <v/>
      </c>
      <c r="L32" s="49">
        <f>L19-L30</f>
        <v/>
      </c>
      <c r="M32" s="49">
        <f>M19-M30</f>
        <v/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45" customWidth="1" min="4" max="4"/>
  </cols>
  <sheetData>
    <row r="1" ht="30" customHeight="1">
      <c r="A1" s="1" t="inlineStr">
        <is>
          <t>ANALISI INVESTIMENTO INIZIALE E RITORNO</t>
        </is>
      </c>
    </row>
    <row r="3">
      <c r="A3" s="23" t="inlineStr">
        <is>
          <t>COSTI DI STARTUP (CAPEX)</t>
        </is>
      </c>
      <c r="B3" s="50" t="inlineStr">
        <is>
          <t>Importo (€)</t>
        </is>
      </c>
      <c r="C3" s="51" t="inlineStr">
        <is>
          <t>% sul Totale</t>
        </is>
      </c>
      <c r="D3" s="23" t="inlineStr">
        <is>
          <t>Note</t>
        </is>
      </c>
    </row>
    <row r="4">
      <c r="A4" t="inlineStr">
        <is>
          <t>Allestimento e ristrutturazione locale</t>
        </is>
      </c>
      <c r="B4" s="46" t="n">
        <v>25000</v>
      </c>
      <c r="C4" s="52">
        <f>B4/B12</f>
        <v/>
      </c>
      <c r="D4" t="inlineStr">
        <is>
          <t>Opere murarie, impianti, design (25mq)</t>
        </is>
      </c>
    </row>
    <row r="5">
      <c r="A5" t="inlineStr">
        <is>
          <t>Attrezzature cucina (6 microonde, frighi)</t>
        </is>
      </c>
      <c r="B5" s="46" t="n">
        <v>8000</v>
      </c>
      <c r="C5" s="52">
        <f>B5/B12</f>
        <v/>
      </c>
      <c r="D5" t="inlineStr">
        <is>
          <t>Attrezzatura professionale</t>
        </is>
      </c>
    </row>
    <row r="6">
      <c r="A6" t="inlineStr">
        <is>
          <t>Cassa automatica (16335+5360)</t>
        </is>
      </c>
      <c r="B6" s="46" t="n">
        <v>21695</v>
      </c>
      <c r="C6" s="52">
        <f>B6/B12</f>
        <v/>
      </c>
      <c r="D6" t="inlineStr">
        <is>
          <t>Sistema POS e cassa automatica integrata</t>
        </is>
      </c>
    </row>
    <row r="7">
      <c r="A7" t="inlineStr">
        <is>
          <t>Arredi, display e insegne</t>
        </is>
      </c>
      <c r="B7" s="46" t="n">
        <v>10000</v>
      </c>
      <c r="C7" s="52">
        <f>B7/B12</f>
        <v/>
      </c>
      <c r="D7" t="inlineStr">
        <is>
          <t>Comunicazione in-store e esterna</t>
        </is>
      </c>
    </row>
    <row r="8">
      <c r="A8" t="inlineStr">
        <is>
          <t>Costi burocratici e legali</t>
        </is>
      </c>
      <c r="B8" s="46" t="n">
        <v>4000</v>
      </c>
      <c r="C8" s="52">
        <f>B8/B12</f>
        <v/>
      </c>
      <c r="D8" t="inlineStr">
        <is>
          <t>Licenze, consulenze, apertura società</t>
        </is>
      </c>
    </row>
    <row r="9">
      <c r="A9" t="inlineStr">
        <is>
          <t>Budget Marketing di Lancio</t>
        </is>
      </c>
      <c r="B9" s="46" t="n">
        <v>15000</v>
      </c>
      <c r="C9" s="52">
        <f>B9/B12</f>
        <v/>
      </c>
      <c r="D9" t="inlineStr">
        <is>
          <t>Campagna pre-opening e lancio</t>
        </is>
      </c>
    </row>
    <row r="10">
      <c r="A10" s="27" t="inlineStr">
        <is>
          <t>Totale CAPEX</t>
        </is>
      </c>
      <c r="B10" s="53">
        <f>SUM(B4:B9)</f>
        <v/>
      </c>
      <c r="C10" s="54">
        <f>B10/B12</f>
        <v/>
      </c>
      <c r="D10" s="27" t="inlineStr"/>
    </row>
    <row r="12">
      <c r="A12" t="inlineStr">
        <is>
          <t>CAPITALE OPERATIVO INIZIALE</t>
        </is>
      </c>
    </row>
    <row r="13">
      <c r="A13" t="inlineStr">
        <is>
          <t>Capitale Iniziale (3 Mesi OPEX)</t>
        </is>
      </c>
      <c r="B13" s="46">
        <f>'P&amp;L Mensile'!M30*3</f>
        <v/>
      </c>
      <c r="C13" s="52">
        <f>B11/B12</f>
        <v/>
      </c>
      <c r="D13" t="inlineStr">
        <is>
          <t>Cassa per coprire i costi operativi dei primi 3 mesi</t>
        </is>
      </c>
    </row>
    <row r="14">
      <c r="A14" t="inlineStr">
        <is>
          <t>INVESTIMENTO TOTALE RICHIESTO</t>
        </is>
      </c>
      <c r="B14" s="46">
        <f>B10+B11</f>
        <v/>
      </c>
      <c r="C14" s="52">
        <f>B12/B12</f>
        <v/>
      </c>
      <c r="D14" t="inlineStr">
        <is>
          <t>Fabbisogno finanziario per partire</t>
        </is>
      </c>
    </row>
    <row r="16">
      <c r="A16" t="inlineStr">
        <is>
          <t>ANALISI DEL RITORNO SULL'INVESTIMENTO (ROI)</t>
        </is>
      </c>
    </row>
    <row r="17">
      <c r="A17" s="16" t="inlineStr">
        <is>
          <t>EBITDA Mensile Medio (da P&amp;L)</t>
        </is>
      </c>
      <c r="B17" s="55">
        <f>AVERAGE('P&amp;L Mensile'!B32:M32)</f>
        <v/>
      </c>
      <c r="C17" s="56" t="inlineStr"/>
      <c r="D17" s="16" t="inlineStr">
        <is>
          <t>Margine operativo lordo medio mensile</t>
        </is>
      </c>
    </row>
    <row r="18">
      <c r="A18" t="inlineStr">
        <is>
          <t>EBITDA Annuale</t>
        </is>
      </c>
      <c r="B18" s="46">
        <f>B15*12</f>
        <v/>
      </c>
      <c r="C18" s="52" t="inlineStr"/>
      <c r="D18" t="inlineStr">
        <is>
          <t>Proiezione a 12 mesi basata sulla media</t>
        </is>
      </c>
    </row>
    <row r="19">
      <c r="A19" t="inlineStr">
        <is>
          <t>Payback Period (Mesi)</t>
        </is>
      </c>
      <c r="B19" s="46">
        <f>IFERROR(B12/B15,0)</f>
        <v/>
      </c>
      <c r="C19" s="52" t="inlineStr"/>
      <c r="D19" t="inlineStr">
        <is>
          <t>Mesi necessari per recuperare l'investimento</t>
        </is>
      </c>
    </row>
    <row r="20">
      <c r="A20" t="inlineStr">
        <is>
          <t>ROI a 1 Anno</t>
        </is>
      </c>
      <c r="B20" s="57">
        <f>IFERROR(B16/B12,0)</f>
        <v/>
      </c>
      <c r="C20" s="52" t="inlineStr"/>
      <c r="D20" t="inlineStr">
        <is>
          <t>(EBITDA Annuale / Investimento Totale)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22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" t="inlineStr">
        <is>
          <t>ANALISI SCENARI - CONFRONTO BASE / PESSIMISTICO / OTTIMISTICO</t>
        </is>
      </c>
    </row>
    <row r="3">
      <c r="A3" s="11" t="inlineStr">
        <is>
          <t>Metrica</t>
        </is>
      </c>
      <c r="B3" s="11" t="inlineStr">
        <is>
          <t>Scenario Base</t>
        </is>
      </c>
      <c r="C3" s="11" t="inlineStr">
        <is>
          <t>Scenario Pessimistico</t>
        </is>
      </c>
      <c r="D3" s="11" t="inlineStr">
        <is>
          <t>Scenario Ottimistico</t>
        </is>
      </c>
      <c r="E3" s="11" t="inlineStr">
        <is>
          <t>Delta Pess.</t>
        </is>
      </c>
      <c r="F3" s="11" t="inlineStr">
        <is>
          <t>Delta Ott.</t>
        </is>
      </c>
      <c r="G3" s="11" t="inlineStr">
        <is>
          <t>Sensitività</t>
        </is>
      </c>
    </row>
    <row r="4">
      <c r="A4" s="16" t="inlineStr">
        <is>
          <t>VOLUMI GIORNALIERI</t>
        </is>
      </c>
    </row>
    <row r="5">
      <c r="A5" t="inlineStr">
        <is>
          <t>Piatti in store (pz/gg)</t>
        </is>
      </c>
      <c r="B5" s="33">
        <f>Parametri!B4</f>
        <v/>
      </c>
      <c r="C5" s="33">
        <f>Parametri!D4</f>
        <v/>
      </c>
      <c r="D5" s="33">
        <f>Parametri!E4</f>
        <v/>
      </c>
      <c r="E5" s="33">
        <f>C5-B5</f>
        <v/>
      </c>
      <c r="F5" s="33">
        <f>D5-B5</f>
        <v/>
      </c>
      <c r="G5" s="52">
        <f>IFERROR((D5-C5)/(D5+C5)*2,0)</f>
        <v/>
      </c>
    </row>
    <row r="6">
      <c r="A6" t="inlineStr">
        <is>
          <t>Piatti delivery (pz/gg)</t>
        </is>
      </c>
      <c r="B6" s="33">
        <f>Parametri!B5</f>
        <v/>
      </c>
      <c r="C6" s="33">
        <f>Parametri!D5</f>
        <v/>
      </c>
      <c r="D6" s="33">
        <f>Parametri!E5</f>
        <v/>
      </c>
      <c r="E6" s="33">
        <f>C6-B6</f>
        <v/>
      </c>
      <c r="F6" s="33">
        <f>D6-B6</f>
        <v/>
      </c>
      <c r="G6" s="52">
        <f>IFERROR((D6-C6)/(D6+C6)*2,0)</f>
        <v/>
      </c>
    </row>
    <row r="8">
      <c r="A8" s="16" t="inlineStr">
        <is>
          <t>PERFORMANCE ECONOMICA MENSILE</t>
        </is>
      </c>
    </row>
    <row r="9">
      <c r="A9" t="inlineStr">
        <is>
          <t>Ricavi Totali</t>
        </is>
      </c>
      <c r="B9" s="46">
        <f>(Parametri!B4*Parametri!B28*Parametri!C11)+(Parametri!B5*Parametri!B28*Parametri!C11)+(Parametri!B6*Parametri!B28*Parametri!C12)+(Parametri!B7*Parametri!B28*Parametri!C13)+Parametri!B31</f>
        <v/>
      </c>
      <c r="C9" s="46">
        <f>(Parametri!D4*Parametri!B28*Parametri!C11)+(Parametri!D5*Parametri!B28*Parametri!C11)+(Parametri!D6*Parametri!B28*Parametri!C12)+(Parametri!D7*Parametri!B28*Parametri!C13)+Parametri!B31</f>
        <v/>
      </c>
      <c r="D9" s="46">
        <f>(Parametri!E4*Parametri!B28*Parametri!C11)+(Parametri!E5*Parametri!B28*Parametri!C11)+(Parametri!E6*Parametri!B28*Parametri!C12)+(Parametri!E7*Parametri!B28*Parametri!C13)+Parametri!B31</f>
        <v/>
      </c>
      <c r="E9" s="46">
        <f>C9-B9</f>
        <v/>
      </c>
      <c r="F9" s="46">
        <f>D9-B9</f>
        <v/>
      </c>
      <c r="G9" s="52">
        <f>IFERROR((D9-C9)/B9,0)</f>
        <v/>
      </c>
    </row>
    <row r="10">
      <c r="A10" t="inlineStr">
        <is>
          <t>COGS Totali</t>
        </is>
      </c>
      <c r="B10" s="46">
        <f>((Parametri!B4+Parametri!B5)*Parametri!B28*Parametri!D11)+(Parametri!B6*Parametri!B28*Parametri!D12)+(Parametri!B7*Parametri!B28*Parametri!D13)</f>
        <v/>
      </c>
      <c r="C10" s="46">
        <f>((Parametri!D4+Parametri!D5)*Parametri!B28*Parametri!D11)+(Parametri!D6*Parametri!B28*Parametri!D12)+(Parametri!D7*Parametri!B28*Parametri!D13)</f>
        <v/>
      </c>
      <c r="D10" s="46">
        <f>((Parametri!E4+Parametri!E5)*Parametri!B28*Parametri!D11)+(Parametri!E6*Parametri!B28*Parametri!D12)+(Parametri!E7*Parametri!B28*Parametri!D13)</f>
        <v/>
      </c>
      <c r="E10" s="46">
        <f>C10-B10</f>
        <v/>
      </c>
      <c r="F10" s="46">
        <f>D10-B10</f>
        <v/>
      </c>
      <c r="G10" s="52">
        <f>IFERROR((D10-C10)/B10,0)</f>
        <v/>
      </c>
    </row>
    <row r="11">
      <c r="A11" t="inlineStr">
        <is>
          <t>Gross Margin</t>
        </is>
      </c>
      <c r="B11" s="46">
        <f>B9-B10</f>
        <v/>
      </c>
      <c r="C11" s="46">
        <f>C9-C10</f>
        <v/>
      </c>
      <c r="D11" s="46">
        <f>D9-D10</f>
        <v/>
      </c>
      <c r="E11" s="46">
        <f>C11-B11</f>
        <v/>
      </c>
      <c r="F11" s="46">
        <f>D11-B11</f>
        <v/>
      </c>
      <c r="G11" s="52">
        <f>IFERROR((D11-C11)/B11,0)</f>
        <v/>
      </c>
    </row>
    <row r="12">
      <c r="A12" t="inlineStr">
        <is>
          <t>OPEX Totali</t>
        </is>
      </c>
      <c r="B12" s="46">
        <f>Parametri!B17+Parametri!B18+Parametri!B21+Parametri!B22+Parametri!B23+Parametri!B24+Parametri!B25+(Parametri!B37*Parametri!B38)/12</f>
        <v/>
      </c>
      <c r="C12" s="46">
        <f>B12</f>
        <v/>
      </c>
      <c r="D12" s="46">
        <f>B12</f>
        <v/>
      </c>
      <c r="E12" s="46">
        <f>C12-B12</f>
        <v/>
      </c>
      <c r="F12" s="46">
        <f>D12-B12</f>
        <v/>
      </c>
      <c r="G12" s="52">
        <f>IFERROR((D12-C12)/B12,0)</f>
        <v/>
      </c>
    </row>
    <row r="13">
      <c r="A13" s="27" t="inlineStr">
        <is>
          <t>EBITDA</t>
        </is>
      </c>
      <c r="B13" s="46">
        <f>B11-B12</f>
        <v/>
      </c>
      <c r="C13" s="46">
        <f>C11-C12</f>
        <v/>
      </c>
      <c r="D13" s="46">
        <f>D11-D12</f>
        <v/>
      </c>
      <c r="E13" s="46">
        <f>C13-B13</f>
        <v/>
      </c>
      <c r="F13" s="46">
        <f>D13-B13</f>
        <v/>
      </c>
      <c r="G13" s="52">
        <f>IFERROR((D13-C13)/B13,0)</f>
        <v/>
      </c>
    </row>
    <row r="14">
      <c r="A14" t="inlineStr">
        <is>
          <t>Margine EBITDA %</t>
        </is>
      </c>
      <c r="B14" s="52">
        <f>IFERROR(B13/B9,0)</f>
        <v/>
      </c>
      <c r="C14" s="52">
        <f>IFERROR(C13/C9,0)</f>
        <v/>
      </c>
      <c r="D14" s="52">
        <f>IFERROR(D13/D9,0)</f>
        <v/>
      </c>
      <c r="E14" s="52">
        <f>C14-B14</f>
        <v/>
      </c>
      <c r="F14" s="52">
        <f>D14-B14</f>
        <v/>
      </c>
      <c r="G14" s="52">
        <f>IFERROR((D14-C14)/B14,0)</f>
        <v/>
      </c>
    </row>
    <row r="16">
      <c r="A16" s="16" t="inlineStr">
        <is>
          <t>RITORNO SULL'INVESTIMENTO</t>
        </is>
      </c>
    </row>
    <row r="17">
      <c r="A17" t="inlineStr">
        <is>
          <t>Payback Period (mesi)</t>
        </is>
      </c>
      <c r="B17" s="57">
        <f>IFERROR('Investimento &amp; ROI'!B15/B13,0)</f>
        <v/>
      </c>
      <c r="C17" s="57">
        <f>IFERROR('Investimento &amp; ROI'!B15/C13,0)</f>
        <v/>
      </c>
      <c r="D17" s="57">
        <f>IFERROR('Investimento &amp; ROI'!B15/D13,0)</f>
        <v/>
      </c>
      <c r="E17" s="57">
        <f>C17-B17</f>
        <v/>
      </c>
      <c r="F17" s="57">
        <f>D17-B17</f>
        <v/>
      </c>
      <c r="G17" s="52">
        <f>IFERROR((C17-D17)/B17,0)</f>
        <v/>
      </c>
    </row>
    <row r="18">
      <c r="A18" t="inlineStr">
        <is>
          <t>ROI Anno 1 (%)</t>
        </is>
      </c>
      <c r="B18" s="52">
        <f>IFERROR((B13*12)/'Investimento &amp; ROI'!B15,0)</f>
        <v/>
      </c>
      <c r="C18" s="52">
        <f>IFERROR((C13*12)/'Investimento &amp; ROI'!B15,0)</f>
        <v/>
      </c>
      <c r="D18" s="52">
        <f>IFERROR((D13*12)/'Investimento &amp; ROI'!B15,0)</f>
        <v/>
      </c>
      <c r="E18" s="52">
        <f>C18-B18</f>
        <v/>
      </c>
      <c r="F18" s="52">
        <f>D18-B18</f>
        <v/>
      </c>
      <c r="G18" s="52">
        <f>IFERROR((D18-C18)/B18,0)</f>
        <v/>
      </c>
    </row>
    <row r="20">
      <c r="A20" s="10" t="inlineStr">
        <is>
          <t>SPIEGAZIONE METRICHE DI INVESTIMENTO</t>
        </is>
      </c>
    </row>
    <row r="21">
      <c r="A21" s="34" t="inlineStr">
        <is>
          <t>Payback Period (Periodo di Rientro):</t>
        </is>
      </c>
    </row>
    <row r="22" ht="60" customHeight="1">
      <c r="A22" s="4" t="inlineStr">
        <is>
          <t>Il Payback Period indica quanto tempo (in mesi) è necessario per recuperare completamente l'investimento iniziale attraverso i flussi di cassa generati dall'attività. Si calcola dividendo l'investimento totale per l'EBITDA mensile. Esempio: con un investimento di €166.695 e un EBITDA mensile di €51.530, il payback period è di 3,2 mesi, quindi l'investimento si ripaga in circa 3 mesi.</t>
        </is>
      </c>
    </row>
    <row r="24">
      <c r="A24" s="34" t="inlineStr">
        <is>
          <t>ROI Anno 1 (Return on Investment):</t>
        </is>
      </c>
    </row>
    <row r="25" ht="60" customHeight="1">
      <c r="A25" s="4" t="inlineStr">
        <is>
          <t>Il ROI (Return on Investment) misura la redditività dell'investimento in termini percentuali. Si calcola dividendo l'EBITDA annuale (EBITDA mensile × 12) per l'investimento totale. Un ROI del 37,1% significa che il primo anno genererai un ritorno pari al 37,1% dell'investimento iniziale. Esempio: con €166.695 investiti e un EBITDA annuale di €618.360, il ROI è del 371%, indicando un ritorno eccellente sull'investimento.</t>
        </is>
      </c>
    </row>
  </sheetData>
  <mergeCells count="6">
    <mergeCell ref="A1:G1"/>
    <mergeCell ref="A21:G21"/>
    <mergeCell ref="A22:G22"/>
    <mergeCell ref="A20:G20"/>
    <mergeCell ref="A24:G24"/>
    <mergeCell ref="A25:G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0" customHeight="1">
      <c r="A1" s="1" t="inlineStr">
        <is>
          <t>PROIEZIONE CASH FLOW - 12 MESI</t>
        </is>
      </c>
    </row>
    <row r="3">
      <c r="A3" s="11" t="inlineStr">
        <is>
          <t>Voce</t>
        </is>
      </c>
      <c r="B3" s="11" t="inlineStr">
        <is>
          <t>Mese 1</t>
        </is>
      </c>
      <c r="C3" s="11" t="inlineStr">
        <is>
          <t>Mese 2</t>
        </is>
      </c>
      <c r="D3" s="11" t="inlineStr">
        <is>
          <t>Mese 3</t>
        </is>
      </c>
      <c r="E3" s="11" t="inlineStr">
        <is>
          <t>Mese 4</t>
        </is>
      </c>
      <c r="F3" s="11" t="inlineStr">
        <is>
          <t>Mese 5</t>
        </is>
      </c>
      <c r="G3" s="11" t="inlineStr">
        <is>
          <t>Mese 6</t>
        </is>
      </c>
      <c r="H3" s="11" t="inlineStr">
        <is>
          <t>Mese 7</t>
        </is>
      </c>
      <c r="I3" s="11" t="inlineStr">
        <is>
          <t>Mese 8</t>
        </is>
      </c>
      <c r="J3" s="11" t="inlineStr">
        <is>
          <t>Mese 9</t>
        </is>
      </c>
      <c r="K3" s="11" t="inlineStr">
        <is>
          <t>Mese 10</t>
        </is>
      </c>
      <c r="L3" s="11" t="inlineStr">
        <is>
          <t>Mese 11</t>
        </is>
      </c>
      <c r="M3" s="11" t="inlineStr">
        <is>
          <t>Mese 12</t>
        </is>
      </c>
    </row>
    <row r="4">
      <c r="A4" s="2" t="inlineStr">
        <is>
          <t>ENTRATE (CASH IN)</t>
        </is>
      </c>
    </row>
    <row r="5">
      <c r="A5" t="inlineStr">
        <is>
          <t>Ricavi da vendite</t>
        </is>
      </c>
      <c r="B5" s="46">
        <f>'P&amp;L Mensile'!B11</f>
        <v/>
      </c>
      <c r="C5" s="46">
        <f>'P&amp;L Mensile'!C11</f>
        <v/>
      </c>
      <c r="D5" s="46">
        <f>'P&amp;L Mensile'!D11</f>
        <v/>
      </c>
      <c r="E5" s="46">
        <f>'P&amp;L Mensile'!E11</f>
        <v/>
      </c>
      <c r="F5" s="46">
        <f>'P&amp;L Mensile'!F11</f>
        <v/>
      </c>
      <c r="G5" s="46">
        <f>'P&amp;L Mensile'!G11</f>
        <v/>
      </c>
      <c r="H5" s="46">
        <f>'P&amp;L Mensile'!H11</f>
        <v/>
      </c>
      <c r="I5" s="46">
        <f>'P&amp;L Mensile'!I11</f>
        <v/>
      </c>
      <c r="J5" s="46">
        <f>'P&amp;L Mensile'!J11</f>
        <v/>
      </c>
      <c r="K5" s="46">
        <f>'P&amp;L Mensile'!K11</f>
        <v/>
      </c>
      <c r="L5" s="46">
        <f>'P&amp;L Mensile'!L11</f>
        <v/>
      </c>
      <c r="M5" s="46">
        <f>'P&amp;L Mensile'!M11</f>
        <v/>
      </c>
    </row>
    <row r="6">
      <c r="A6" s="35" t="inlineStr">
        <is>
          <t>Totale Entrate</t>
        </is>
      </c>
      <c r="B6" s="58">
        <f>B5</f>
        <v/>
      </c>
      <c r="C6" s="58">
        <f>C5</f>
        <v/>
      </c>
      <c r="D6" s="58">
        <f>D5</f>
        <v/>
      </c>
      <c r="E6" s="58">
        <f>E5</f>
        <v/>
      </c>
      <c r="F6" s="58">
        <f>F5</f>
        <v/>
      </c>
      <c r="G6" s="58">
        <f>G5</f>
        <v/>
      </c>
      <c r="H6" s="58">
        <f>H5</f>
        <v/>
      </c>
      <c r="I6" s="58">
        <f>I5</f>
        <v/>
      </c>
      <c r="J6" s="58">
        <f>J5</f>
        <v/>
      </c>
      <c r="K6" s="58">
        <f>K5</f>
        <v/>
      </c>
      <c r="L6" s="58">
        <f>L5</f>
        <v/>
      </c>
      <c r="M6" s="58">
        <f>M5</f>
        <v/>
      </c>
    </row>
    <row r="8">
      <c r="A8" s="2" t="inlineStr">
        <is>
          <t>USCITE (CASH OUT)</t>
        </is>
      </c>
    </row>
    <row r="9">
      <c r="A9" t="inlineStr">
        <is>
          <t>Costi variabili (COGS)</t>
        </is>
      </c>
      <c r="B9" s="46">
        <f>'P&amp;L Mensile'!B17</f>
        <v/>
      </c>
      <c r="C9" s="46">
        <f>'P&amp;L Mensile'!C17</f>
        <v/>
      </c>
      <c r="D9" s="46">
        <f>'P&amp;L Mensile'!D17</f>
        <v/>
      </c>
      <c r="E9" s="46">
        <f>'P&amp;L Mensile'!E17</f>
        <v/>
      </c>
      <c r="F9" s="46">
        <f>'P&amp;L Mensile'!F17</f>
        <v/>
      </c>
      <c r="G9" s="46">
        <f>'P&amp;L Mensile'!G17</f>
        <v/>
      </c>
      <c r="H9" s="46">
        <f>'P&amp;L Mensile'!H17</f>
        <v/>
      </c>
      <c r="I9" s="46">
        <f>'P&amp;L Mensile'!I17</f>
        <v/>
      </c>
      <c r="J9" s="46">
        <f>'P&amp;L Mensile'!J17</f>
        <v/>
      </c>
      <c r="K9" s="46">
        <f>'P&amp;L Mensile'!K17</f>
        <v/>
      </c>
      <c r="L9" s="46">
        <f>'P&amp;L Mensile'!L17</f>
        <v/>
      </c>
      <c r="M9" s="46">
        <f>'P&amp;L Mensile'!M17</f>
        <v/>
      </c>
    </row>
    <row r="10">
      <c r="A10" t="inlineStr">
        <is>
          <t>Costi operativi (OPEX)</t>
        </is>
      </c>
      <c r="B10" s="46">
        <f>'P&amp;L Mensile'!B30</f>
        <v/>
      </c>
      <c r="C10" s="46">
        <f>'P&amp;L Mensile'!C30</f>
        <v/>
      </c>
      <c r="D10" s="46">
        <f>'P&amp;L Mensile'!D30</f>
        <v/>
      </c>
      <c r="E10" s="46">
        <f>'P&amp;L Mensile'!E30</f>
        <v/>
      </c>
      <c r="F10" s="46">
        <f>'P&amp;L Mensile'!F30</f>
        <v/>
      </c>
      <c r="G10" s="46">
        <f>'P&amp;L Mensile'!G30</f>
        <v/>
      </c>
      <c r="H10" s="46">
        <f>'P&amp;L Mensile'!H30</f>
        <v/>
      </c>
      <c r="I10" s="46">
        <f>'P&amp;L Mensile'!I30</f>
        <v/>
      </c>
      <c r="J10" s="46">
        <f>'P&amp;L Mensile'!J30</f>
        <v/>
      </c>
      <c r="K10" s="46">
        <f>'P&amp;L Mensile'!K30</f>
        <v/>
      </c>
      <c r="L10" s="46">
        <f>'P&amp;L Mensile'!L30</f>
        <v/>
      </c>
      <c r="M10" s="46">
        <f>'P&amp;L Mensile'!M30</f>
        <v/>
      </c>
    </row>
    <row r="11">
      <c r="A11" t="inlineStr">
        <is>
          <t>Investimento iniziale</t>
        </is>
      </c>
      <c r="B11" s="46">
        <f>'Investimento &amp; ROI'!B15</f>
        <v/>
      </c>
      <c r="C11" s="46" t="n">
        <v>0</v>
      </c>
      <c r="D11" s="46" t="n">
        <v>0</v>
      </c>
      <c r="E11" s="46" t="n">
        <v>0</v>
      </c>
      <c r="F11" s="46" t="n">
        <v>0</v>
      </c>
      <c r="G11" s="46" t="n">
        <v>0</v>
      </c>
      <c r="H11" s="46" t="n">
        <v>0</v>
      </c>
      <c r="I11" s="46" t="n">
        <v>0</v>
      </c>
      <c r="J11" s="46" t="n">
        <v>0</v>
      </c>
      <c r="K11" s="46" t="n">
        <v>0</v>
      </c>
      <c r="L11" s="46" t="n">
        <v>0</v>
      </c>
      <c r="M11" s="46" t="n">
        <v>0</v>
      </c>
    </row>
    <row r="12">
      <c r="A12" s="19" t="inlineStr">
        <is>
          <t>Totale Uscite</t>
        </is>
      </c>
      <c r="B12" s="59">
        <f>B9+B10+B11</f>
        <v/>
      </c>
      <c r="C12" s="59">
        <f>C9+C10+C11</f>
        <v/>
      </c>
      <c r="D12" s="59">
        <f>D9+D10+D11</f>
        <v/>
      </c>
      <c r="E12" s="59">
        <f>E9+E10+E11</f>
        <v/>
      </c>
      <c r="F12" s="59">
        <f>F9+F10+F11</f>
        <v/>
      </c>
      <c r="G12" s="59">
        <f>G9+G10+G11</f>
        <v/>
      </c>
      <c r="H12" s="59">
        <f>H9+H10+H11</f>
        <v/>
      </c>
      <c r="I12" s="59">
        <f>I9+I10+I11</f>
        <v/>
      </c>
      <c r="J12" s="59">
        <f>J9+J10+J11</f>
        <v/>
      </c>
      <c r="K12" s="59">
        <f>K9+K10+K11</f>
        <v/>
      </c>
      <c r="L12" s="59">
        <f>L9+L10+L11</f>
        <v/>
      </c>
      <c r="M12" s="59">
        <f>M9+M10+M11</f>
        <v/>
      </c>
    </row>
    <row r="14">
      <c r="A14" s="2" t="inlineStr">
        <is>
          <t>CASH FLOW ANALYSIS</t>
        </is>
      </c>
    </row>
    <row r="15">
      <c r="A15" s="19" t="inlineStr">
        <is>
          <t>Cash Flow Mensile</t>
        </is>
      </c>
      <c r="B15" s="48">
        <f>B6-B12</f>
        <v/>
      </c>
      <c r="C15" s="48">
        <f>C6-C12</f>
        <v/>
      </c>
      <c r="D15" s="48">
        <f>D6-D12</f>
        <v/>
      </c>
      <c r="E15" s="48">
        <f>E6-E12</f>
        <v/>
      </c>
      <c r="F15" s="48">
        <f>F6-F12</f>
        <v/>
      </c>
      <c r="G15" s="48">
        <f>G6-G12</f>
        <v/>
      </c>
      <c r="H15" s="48">
        <f>H6-H12</f>
        <v/>
      </c>
      <c r="I15" s="48">
        <f>I6-I12</f>
        <v/>
      </c>
      <c r="J15" s="48">
        <f>J6-J12</f>
        <v/>
      </c>
      <c r="K15" s="48">
        <f>K6-K12</f>
        <v/>
      </c>
      <c r="L15" s="48">
        <f>L6-L12</f>
        <v/>
      </c>
      <c r="M15" s="48">
        <f>M6-M12</f>
        <v/>
      </c>
    </row>
    <row r="16">
      <c r="A16" s="19" t="inlineStr">
        <is>
          <t>Cash Flow Cumulativo</t>
        </is>
      </c>
      <c r="B16" s="48">
        <f>B15</f>
        <v/>
      </c>
      <c r="C16" s="48">
        <f>B16+C15</f>
        <v/>
      </c>
      <c r="D16" s="48">
        <f>C16+D15</f>
        <v/>
      </c>
      <c r="E16" s="48">
        <f>D16+E15</f>
        <v/>
      </c>
      <c r="F16" s="48">
        <f>E16+F15</f>
        <v/>
      </c>
      <c r="G16" s="48">
        <f>F16+G15</f>
        <v/>
      </c>
      <c r="H16" s="48">
        <f>G16+H15</f>
        <v/>
      </c>
      <c r="I16" s="48">
        <f>H16+I15</f>
        <v/>
      </c>
      <c r="J16" s="48">
        <f>I16+J15</f>
        <v/>
      </c>
      <c r="K16" s="48">
        <f>J16+K15</f>
        <v/>
      </c>
      <c r="L16" s="48">
        <f>K16+L15</f>
        <v/>
      </c>
      <c r="M16" s="48">
        <f>L16+M15</f>
        <v/>
      </c>
    </row>
    <row r="18">
      <c r="A18" t="inlineStr">
        <is>
          <t>Note:</t>
        </is>
      </c>
      <c r="B18" s="38" t="inlineStr">
        <is>
          <t>Break-even quando CF Cumulativo &gt; 0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 ht="30" customHeight="1">
      <c r="A1" s="1" t="inlineStr">
        <is>
          <t>CASH FLOW 24 MESI - ESPANSIONE MULTI-STORE (5 PUNTI VENDITA)</t>
        </is>
      </c>
    </row>
    <row r="3">
      <c r="A3" s="16" t="inlineStr">
        <is>
          <t>PARAMETRI APERTURE PUNTI VENDITA</t>
        </is>
      </c>
    </row>
    <row r="4">
      <c r="A4" t="inlineStr">
        <is>
          <t>Punto Vendita 1</t>
        </is>
      </c>
      <c r="B4" t="inlineStr">
        <is>
          <t>Mese 1</t>
        </is>
      </c>
      <c r="C4" s="46">
        <f>'Investimento &amp; ROI'!B15</f>
        <v/>
      </c>
      <c r="D4" s="39" t="inlineStr">
        <is>
          <t>Apertura immediata (anno 1)</t>
        </is>
      </c>
    </row>
    <row r="5">
      <c r="A5" t="inlineStr">
        <is>
          <t>Punto Vendita 2</t>
        </is>
      </c>
      <c r="B5" t="inlineStr">
        <is>
          <t>Mese 13</t>
        </is>
      </c>
      <c r="C5" s="46">
        <f>'Investimento &amp; ROI'!B15</f>
        <v/>
      </c>
      <c r="D5" s="39" t="inlineStr">
        <is>
          <t>Inizio anno 2</t>
        </is>
      </c>
    </row>
    <row r="6">
      <c r="A6" t="inlineStr">
        <is>
          <t>Punto Vendita 3</t>
        </is>
      </c>
      <c r="B6" t="inlineStr">
        <is>
          <t>Mese 15</t>
        </is>
      </c>
      <c r="C6" s="46">
        <f>'Investimento &amp; ROI'!B15</f>
        <v/>
      </c>
      <c r="D6" s="39" t="inlineStr">
        <is>
          <t>2 mesi dopo Punto Vendita 2</t>
        </is>
      </c>
    </row>
    <row r="7">
      <c r="A7" t="inlineStr">
        <is>
          <t>Punto Vendita 4</t>
        </is>
      </c>
      <c r="B7" t="inlineStr">
        <is>
          <t>Mese 17</t>
        </is>
      </c>
      <c r="C7" s="46">
        <f>'Investimento &amp; ROI'!B15</f>
        <v/>
      </c>
      <c r="D7" s="39" t="inlineStr">
        <is>
          <t>2 mesi dopo Punto Vendita 3</t>
        </is>
      </c>
    </row>
    <row r="8">
      <c r="A8" t="inlineStr">
        <is>
          <t>Punto Vendita 5</t>
        </is>
      </c>
      <c r="B8" t="inlineStr">
        <is>
          <t>Mese 19</t>
        </is>
      </c>
      <c r="C8" s="46">
        <f>'Investimento &amp; ROI'!B15</f>
        <v/>
      </c>
      <c r="D8" s="39" t="inlineStr">
        <is>
          <t>2 mesi dopo Punto Vendita 4</t>
        </is>
      </c>
    </row>
    <row r="10">
      <c r="A10" s="16" t="inlineStr">
        <is>
          <t>CASH FLOW CONSOLIDATO</t>
        </is>
      </c>
    </row>
    <row r="11">
      <c r="A11" s="11" t="inlineStr">
        <is>
          <t>Voce</t>
        </is>
      </c>
      <c r="B11" s="11" t="inlineStr">
        <is>
          <t>M1</t>
        </is>
      </c>
      <c r="C11" s="11" t="inlineStr">
        <is>
          <t>M2</t>
        </is>
      </c>
      <c r="D11" s="11" t="inlineStr">
        <is>
          <t>M3</t>
        </is>
      </c>
      <c r="E11" s="11" t="inlineStr">
        <is>
          <t>M4</t>
        </is>
      </c>
      <c r="F11" s="11" t="inlineStr">
        <is>
          <t>M5</t>
        </is>
      </c>
      <c r="G11" s="11" t="inlineStr">
        <is>
          <t>M6</t>
        </is>
      </c>
      <c r="H11" s="11" t="inlineStr">
        <is>
          <t>M7</t>
        </is>
      </c>
      <c r="I11" s="11" t="inlineStr">
        <is>
          <t>M8</t>
        </is>
      </c>
      <c r="J11" s="11" t="inlineStr">
        <is>
          <t>M9</t>
        </is>
      </c>
      <c r="K11" s="11" t="inlineStr">
        <is>
          <t>M10</t>
        </is>
      </c>
      <c r="L11" s="11" t="inlineStr">
        <is>
          <t>M11</t>
        </is>
      </c>
      <c r="M11" s="11" t="inlineStr">
        <is>
          <t>M12</t>
        </is>
      </c>
      <c r="N11" s="11" t="inlineStr">
        <is>
          <t>M13</t>
        </is>
      </c>
      <c r="O11" s="11" t="inlineStr">
        <is>
          <t>M14</t>
        </is>
      </c>
      <c r="P11" s="11" t="inlineStr">
        <is>
          <t>M15</t>
        </is>
      </c>
      <c r="Q11" s="11" t="inlineStr">
        <is>
          <t>M16</t>
        </is>
      </c>
      <c r="R11" s="11" t="inlineStr">
        <is>
          <t>M17</t>
        </is>
      </c>
      <c r="S11" s="11" t="inlineStr">
        <is>
          <t>M18</t>
        </is>
      </c>
      <c r="T11" s="11" t="inlineStr">
        <is>
          <t>M19</t>
        </is>
      </c>
      <c r="U11" s="11" t="inlineStr">
        <is>
          <t>M20</t>
        </is>
      </c>
      <c r="V11" s="11" t="inlineStr">
        <is>
          <t>M21</t>
        </is>
      </c>
      <c r="W11" s="11" t="inlineStr">
        <is>
          <t>M22</t>
        </is>
      </c>
      <c r="X11" s="11" t="inlineStr">
        <is>
          <t>M23</t>
        </is>
      </c>
      <c r="Y11" s="11" t="inlineStr">
        <is>
          <t>M24</t>
        </is>
      </c>
    </row>
    <row r="12">
      <c r="A12" s="19" t="inlineStr">
        <is>
          <t>Investimenti Totali</t>
        </is>
      </c>
      <c r="B12" s="46">
        <f>'Investimento &amp; ROI'!B15</f>
        <v/>
      </c>
      <c r="C12" s="46" t="n">
        <v>0</v>
      </c>
      <c r="D12" s="46" t="n">
        <v>0</v>
      </c>
      <c r="E12" s="46" t="n">
        <v>0</v>
      </c>
      <c r="F12" s="46" t="n">
        <v>0</v>
      </c>
      <c r="G12" s="46" t="n">
        <v>0</v>
      </c>
      <c r="H12" s="46" t="n">
        <v>0</v>
      </c>
      <c r="I12" s="46" t="n">
        <v>0</v>
      </c>
      <c r="J12" s="46" t="n">
        <v>0</v>
      </c>
      <c r="K12" s="46" t="n">
        <v>0</v>
      </c>
      <c r="L12" s="46" t="n">
        <v>0</v>
      </c>
      <c r="M12" s="46" t="n">
        <v>0</v>
      </c>
      <c r="N12" s="46">
        <f>'Investimento &amp; ROI'!B15</f>
        <v/>
      </c>
      <c r="O12" s="46" t="n">
        <v>0</v>
      </c>
      <c r="P12" s="46">
        <f>'Investimento &amp; ROI'!B15</f>
        <v/>
      </c>
      <c r="Q12" s="46" t="n">
        <v>0</v>
      </c>
      <c r="R12" s="46">
        <f>'Investimento &amp; ROI'!B15</f>
        <v/>
      </c>
      <c r="S12" s="46" t="n">
        <v>0</v>
      </c>
      <c r="T12" s="46">
        <f>'Investimento &amp; ROI'!B15</f>
        <v/>
      </c>
      <c r="U12" s="46" t="n">
        <v>0</v>
      </c>
      <c r="V12" s="46" t="n">
        <v>0</v>
      </c>
      <c r="W12" s="46" t="n">
        <v>0</v>
      </c>
      <c r="X12" s="46" t="n">
        <v>0</v>
      </c>
      <c r="Y12" s="46" t="n">
        <v>0</v>
      </c>
    </row>
    <row r="13">
      <c r="A13" s="19" t="inlineStr">
        <is>
          <t>Ricavi Totali</t>
        </is>
      </c>
      <c r="B13" s="46">
        <f>B20+B26+B32+B38+B44</f>
        <v/>
      </c>
      <c r="C13" s="46">
        <f>C20+C26+C32+C38+C44</f>
        <v/>
      </c>
      <c r="D13" s="46">
        <f>D20+D26+D32+D38+D44</f>
        <v/>
      </c>
      <c r="E13" s="46">
        <f>E20+E26+E32+E38+E44</f>
        <v/>
      </c>
      <c r="F13" s="46">
        <f>F20+F26+F32+F38+F44</f>
        <v/>
      </c>
      <c r="G13" s="46">
        <f>G20+G26+G32+G38+G44</f>
        <v/>
      </c>
      <c r="H13" s="46">
        <f>H20+H26+H32+H38+H44</f>
        <v/>
      </c>
      <c r="I13" s="46">
        <f>I20+I26+I32+I38+I44</f>
        <v/>
      </c>
      <c r="J13" s="46">
        <f>J20+J26+J32+J38+J44</f>
        <v/>
      </c>
      <c r="K13" s="46">
        <f>K20+K26+K32+K38+K44</f>
        <v/>
      </c>
      <c r="L13" s="46">
        <f>L20+L26+L32+L38+L44</f>
        <v/>
      </c>
      <c r="M13" s="46">
        <f>M20+M26+M32+M38+M44</f>
        <v/>
      </c>
      <c r="N13" s="46">
        <f>N20+N26+N32+N38+N44</f>
        <v/>
      </c>
      <c r="O13" s="46">
        <f>O20+O26+O32+O38+O44</f>
        <v/>
      </c>
      <c r="P13" s="46">
        <f>P20+P26+P32+P38+P44</f>
        <v/>
      </c>
      <c r="Q13" s="46">
        <f>Q20+Q26+Q32+Q38+Q44</f>
        <v/>
      </c>
      <c r="R13" s="46">
        <f>R20+R26+R32+R38+R44</f>
        <v/>
      </c>
      <c r="S13" s="46">
        <f>S20+S26+S32+S38+S44</f>
        <v/>
      </c>
      <c r="T13" s="46">
        <f>T20+T26+T32+T38+T44</f>
        <v/>
      </c>
      <c r="U13" s="46">
        <f>U20+U26+U32+U38+U44</f>
        <v/>
      </c>
      <c r="V13" s="46">
        <f>V20+V26+V32+V38+V44</f>
        <v/>
      </c>
      <c r="W13" s="46">
        <f>W20+W26+W32+W38+W44</f>
        <v/>
      </c>
      <c r="X13" s="46">
        <f>X20+X26+X32+X38+X44</f>
        <v/>
      </c>
      <c r="Y13" s="46">
        <f>Y20+Y26+Y32+Y38+Y44</f>
        <v/>
      </c>
    </row>
    <row r="14">
      <c r="A14" s="19" t="inlineStr">
        <is>
          <t>COGS Totali</t>
        </is>
      </c>
      <c r="B14" s="46">
        <f>B21+B27+B33+B39+B45</f>
        <v/>
      </c>
      <c r="C14" s="46">
        <f>C21+C27+C33+C39+C45</f>
        <v/>
      </c>
      <c r="D14" s="46">
        <f>D21+D27+D33+D39+D45</f>
        <v/>
      </c>
      <c r="E14" s="46">
        <f>E21+E27+E33+E39+E45</f>
        <v/>
      </c>
      <c r="F14" s="46">
        <f>F21+F27+F33+F39+F45</f>
        <v/>
      </c>
      <c r="G14" s="46">
        <f>G21+G27+G33+G39+G45</f>
        <v/>
      </c>
      <c r="H14" s="46">
        <f>H21+H27+H33+H39+H45</f>
        <v/>
      </c>
      <c r="I14" s="46">
        <f>I21+I27+I33+I39+I45</f>
        <v/>
      </c>
      <c r="J14" s="46">
        <f>J21+J27+J33+J39+J45</f>
        <v/>
      </c>
      <c r="K14" s="46">
        <f>K21+K27+K33+K39+K45</f>
        <v/>
      </c>
      <c r="L14" s="46">
        <f>L21+L27+L33+L39+L45</f>
        <v/>
      </c>
      <c r="M14" s="46">
        <f>M21+M27+M33+M39+M45</f>
        <v/>
      </c>
      <c r="N14" s="46">
        <f>N21+N27+N33+N39+N45</f>
        <v/>
      </c>
      <c r="O14" s="46">
        <f>O21+O27+O33+O39+O45</f>
        <v/>
      </c>
      <c r="P14" s="46">
        <f>P21+P27+P33+P39+P45</f>
        <v/>
      </c>
      <c r="Q14" s="46">
        <f>Q21+Q27+Q33+Q39+Q45</f>
        <v/>
      </c>
      <c r="R14" s="46">
        <f>R21+R27+R33+R39+R45</f>
        <v/>
      </c>
      <c r="S14" s="46">
        <f>S21+S27+S33+S39+S45</f>
        <v/>
      </c>
      <c r="T14" s="46">
        <f>T21+T27+T33+T39+T45</f>
        <v/>
      </c>
      <c r="U14" s="46">
        <f>U21+U27+U33+U39+U45</f>
        <v/>
      </c>
      <c r="V14" s="46">
        <f>V21+V27+V33+V39+V45</f>
        <v/>
      </c>
      <c r="W14" s="46">
        <f>W21+W27+W33+W39+W45</f>
        <v/>
      </c>
      <c r="X14" s="46">
        <f>X21+X27+X33+X39+X45</f>
        <v/>
      </c>
      <c r="Y14" s="46">
        <f>Y21+Y27+Y33+Y39+Y45</f>
        <v/>
      </c>
    </row>
    <row r="15">
      <c r="A15" s="19" t="inlineStr">
        <is>
          <t>OPEX Totali</t>
        </is>
      </c>
      <c r="B15" s="46">
        <f>B22+B28+B34+B40+B46</f>
        <v/>
      </c>
      <c r="C15" s="46">
        <f>C22+C28+C34+C40+C46</f>
        <v/>
      </c>
      <c r="D15" s="46">
        <f>D22+D28+D34+D40+D46</f>
        <v/>
      </c>
      <c r="E15" s="46">
        <f>E22+E28+E34+E40+E46</f>
        <v/>
      </c>
      <c r="F15" s="46">
        <f>F22+F28+F34+F40+F46</f>
        <v/>
      </c>
      <c r="G15" s="46">
        <f>G22+G28+G34+G40+G46</f>
        <v/>
      </c>
      <c r="H15" s="46">
        <f>H22+H28+H34+H40+H46</f>
        <v/>
      </c>
      <c r="I15" s="46">
        <f>I22+I28+I34+I40+I46</f>
        <v/>
      </c>
      <c r="J15" s="46">
        <f>J22+J28+J34+J40+J46</f>
        <v/>
      </c>
      <c r="K15" s="46">
        <f>K22+K28+K34+K40+K46</f>
        <v/>
      </c>
      <c r="L15" s="46">
        <f>L22+L28+L34+L40+L46</f>
        <v/>
      </c>
      <c r="M15" s="46">
        <f>M22+M28+M34+M40+M46</f>
        <v/>
      </c>
      <c r="N15" s="46">
        <f>N22+N28+N34+N40+N46</f>
        <v/>
      </c>
      <c r="O15" s="46">
        <f>O22+O28+O34+O40+O46</f>
        <v/>
      </c>
      <c r="P15" s="46">
        <f>P22+P28+P34+P40+P46</f>
        <v/>
      </c>
      <c r="Q15" s="46">
        <f>Q22+Q28+Q34+Q40+Q46</f>
        <v/>
      </c>
      <c r="R15" s="46">
        <f>R22+R28+R34+R40+R46</f>
        <v/>
      </c>
      <c r="S15" s="46">
        <f>S22+S28+S34+S40+S46</f>
        <v/>
      </c>
      <c r="T15" s="46">
        <f>T22+T28+T34+T40+T46</f>
        <v/>
      </c>
      <c r="U15" s="46">
        <f>U22+U28+U34+U40+U46</f>
        <v/>
      </c>
      <c r="V15" s="46">
        <f>V22+V28+V34+V40+V46</f>
        <v/>
      </c>
      <c r="W15" s="46">
        <f>W22+W28+W34+W40+W46</f>
        <v/>
      </c>
      <c r="X15" s="46">
        <f>X22+X28+X34+X40+X46</f>
        <v/>
      </c>
      <c r="Y15" s="46">
        <f>Y22+Y28+Y34+Y40+Y46</f>
        <v/>
      </c>
    </row>
    <row r="16">
      <c r="A16" s="19" t="inlineStr">
        <is>
          <t>Cash Flow Mensile</t>
        </is>
      </c>
      <c r="B16" s="48">
        <f>B13-B12-B14-B15</f>
        <v/>
      </c>
      <c r="C16" s="48">
        <f>C13-C12-C14-C15</f>
        <v/>
      </c>
      <c r="D16" s="48">
        <f>D13-D12-D14-D15</f>
        <v/>
      </c>
      <c r="E16" s="48">
        <f>E13-E12-E14-E15</f>
        <v/>
      </c>
      <c r="F16" s="48">
        <f>F13-F12-F14-F15</f>
        <v/>
      </c>
      <c r="G16" s="48">
        <f>G13-G12-G14-G15</f>
        <v/>
      </c>
      <c r="H16" s="48">
        <f>H13-H12-H14-H15</f>
        <v/>
      </c>
      <c r="I16" s="48">
        <f>I13-I12-I14-I15</f>
        <v/>
      </c>
      <c r="J16" s="48">
        <f>J13-J12-J14-J15</f>
        <v/>
      </c>
      <c r="K16" s="48">
        <f>K13-K12-K14-K15</f>
        <v/>
      </c>
      <c r="L16" s="48">
        <f>L13-L12-L14-L15</f>
        <v/>
      </c>
      <c r="M16" s="48">
        <f>M13-M12-M14-M15</f>
        <v/>
      </c>
      <c r="N16" s="48">
        <f>N13-N12-N14-N15</f>
        <v/>
      </c>
      <c r="O16" s="48">
        <f>O13-O12-O14-O15</f>
        <v/>
      </c>
      <c r="P16" s="48">
        <f>P13-P12-P14-P15</f>
        <v/>
      </c>
      <c r="Q16" s="48">
        <f>Q13-Q12-Q14-Q15</f>
        <v/>
      </c>
      <c r="R16" s="48">
        <f>R13-R12-R14-R15</f>
        <v/>
      </c>
      <c r="S16" s="48">
        <f>S13-S12-S14-S15</f>
        <v/>
      </c>
      <c r="T16" s="48">
        <f>T13-T12-T14-T15</f>
        <v/>
      </c>
      <c r="U16" s="48">
        <f>U13-U12-U14-U15</f>
        <v/>
      </c>
      <c r="V16" s="48">
        <f>V13-V12-V14-V15</f>
        <v/>
      </c>
      <c r="W16" s="48">
        <f>W13-W12-W14-W15</f>
        <v/>
      </c>
      <c r="X16" s="48">
        <f>X13-X12-X14-X15</f>
        <v/>
      </c>
      <c r="Y16" s="48">
        <f>Y13-Y12-Y14-Y15</f>
        <v/>
      </c>
    </row>
    <row r="17">
      <c r="A17" s="19" t="inlineStr">
        <is>
          <t>Cash Flow Cumulativo</t>
        </is>
      </c>
      <c r="B17" s="48">
        <f>B16</f>
        <v/>
      </c>
      <c r="C17" s="48">
        <f>B17+C16</f>
        <v/>
      </c>
      <c r="D17" s="48">
        <f>C17+D16</f>
        <v/>
      </c>
      <c r="E17" s="48">
        <f>D17+E16</f>
        <v/>
      </c>
      <c r="F17" s="48">
        <f>E17+F16</f>
        <v/>
      </c>
      <c r="G17" s="48">
        <f>F17+G16</f>
        <v/>
      </c>
      <c r="H17" s="48">
        <f>G17+H16</f>
        <v/>
      </c>
      <c r="I17" s="48">
        <f>H17+I16</f>
        <v/>
      </c>
      <c r="J17" s="48">
        <f>I17+J16</f>
        <v/>
      </c>
      <c r="K17" s="48">
        <f>J17+K16</f>
        <v/>
      </c>
      <c r="L17" s="48">
        <f>K17+L16</f>
        <v/>
      </c>
      <c r="M17" s="48">
        <f>L17+M16</f>
        <v/>
      </c>
      <c r="N17" s="48">
        <f>M17+N16</f>
        <v/>
      </c>
      <c r="O17" s="48">
        <f>N17+O16</f>
        <v/>
      </c>
      <c r="P17" s="48">
        <f>O17+P16</f>
        <v/>
      </c>
      <c r="Q17" s="48">
        <f>P17+Q16</f>
        <v/>
      </c>
      <c r="R17" s="48">
        <f>Q17+R16</f>
        <v/>
      </c>
      <c r="S17" s="48">
        <f>R17+S16</f>
        <v/>
      </c>
      <c r="T17" s="48">
        <f>S17+T16</f>
        <v/>
      </c>
      <c r="U17" s="48">
        <f>T17+U16</f>
        <v/>
      </c>
      <c r="V17" s="48">
        <f>U17+V16</f>
        <v/>
      </c>
      <c r="W17" s="48">
        <f>V17+W16</f>
        <v/>
      </c>
      <c r="X17" s="48">
        <f>W17+X16</f>
        <v/>
      </c>
      <c r="Y17" s="48">
        <f>X17+Y16</f>
        <v/>
      </c>
    </row>
    <row r="19">
      <c r="A19" s="16" t="inlineStr">
        <is>
          <t>DETTAGLIO Punto Vendita 1</t>
        </is>
      </c>
    </row>
    <row r="20">
      <c r="A20" t="inlineStr">
        <is>
          <t xml:space="preserve">  Ricavi Punto Vendita 1</t>
        </is>
      </c>
      <c r="B20" s="46">
        <f>'P&amp;L Mensile'!M11*0.3</f>
        <v/>
      </c>
      <c r="C20" s="46">
        <f>'P&amp;L Mensile'!M11*0.3</f>
        <v/>
      </c>
      <c r="D20" s="46">
        <f>'P&amp;L Mensile'!M11*0.6</f>
        <v/>
      </c>
      <c r="E20" s="46">
        <f>'P&amp;L Mensile'!M11*0.6</f>
        <v/>
      </c>
      <c r="F20" s="46">
        <f>'P&amp;L Mensile'!M11*0.6</f>
        <v/>
      </c>
      <c r="G20" s="46">
        <f>'P&amp;L Mensile'!M11*0.6</f>
        <v/>
      </c>
      <c r="H20" s="46">
        <f>'P&amp;L Mensile'!M11*0.6</f>
        <v/>
      </c>
      <c r="I20" s="46">
        <f>'P&amp;L Mensile'!M11*0.6</f>
        <v/>
      </c>
      <c r="J20" s="46">
        <f>'P&amp;L Mensile'!M11*0.6</f>
        <v/>
      </c>
      <c r="K20" s="46">
        <f>'P&amp;L Mensile'!M11*1.0</f>
        <v/>
      </c>
      <c r="L20" s="46">
        <f>'P&amp;L Mensile'!M11*1.0</f>
        <v/>
      </c>
      <c r="M20" s="46">
        <f>'P&amp;L Mensile'!M11*1.0</f>
        <v/>
      </c>
      <c r="N20" s="46">
        <f>'P&amp;L Mensile'!M11*1.0</f>
        <v/>
      </c>
      <c r="O20" s="46">
        <f>'P&amp;L Mensile'!M11*1.0</f>
        <v/>
      </c>
      <c r="P20" s="46">
        <f>'P&amp;L Mensile'!M11*1.0</f>
        <v/>
      </c>
      <c r="Q20" s="46">
        <f>'P&amp;L Mensile'!M11*1.0</f>
        <v/>
      </c>
      <c r="R20" s="46">
        <f>'P&amp;L Mensile'!M11*1.0</f>
        <v/>
      </c>
      <c r="S20" s="46">
        <f>'P&amp;L Mensile'!M11*1.0</f>
        <v/>
      </c>
      <c r="T20" s="46">
        <f>'P&amp;L Mensile'!M11*1.0</f>
        <v/>
      </c>
      <c r="U20" s="46">
        <f>'P&amp;L Mensile'!M11*1.0</f>
        <v/>
      </c>
      <c r="V20" s="46">
        <f>'P&amp;L Mensile'!M11*1.0</f>
        <v/>
      </c>
      <c r="W20" s="46">
        <f>'P&amp;L Mensile'!M11*1.0</f>
        <v/>
      </c>
      <c r="X20" s="46">
        <f>'P&amp;L Mensile'!M11*1.0</f>
        <v/>
      </c>
      <c r="Y20" s="46">
        <f>'P&amp;L Mensile'!M11*1.0</f>
        <v/>
      </c>
    </row>
    <row r="21">
      <c r="A21" t="inlineStr">
        <is>
          <t xml:space="preserve">  COGS Punto Vendita 1</t>
        </is>
      </c>
      <c r="B21" s="46">
        <f>'P&amp;L Mensile'!M17*0.3</f>
        <v/>
      </c>
      <c r="C21" s="46">
        <f>'P&amp;L Mensile'!M17*0.3</f>
        <v/>
      </c>
      <c r="D21" s="46">
        <f>'P&amp;L Mensile'!M17*0.6</f>
        <v/>
      </c>
      <c r="E21" s="46">
        <f>'P&amp;L Mensile'!M17*0.6</f>
        <v/>
      </c>
      <c r="F21" s="46">
        <f>'P&amp;L Mensile'!M17*0.6</f>
        <v/>
      </c>
      <c r="G21" s="46">
        <f>'P&amp;L Mensile'!M17*0.6</f>
        <v/>
      </c>
      <c r="H21" s="46">
        <f>'P&amp;L Mensile'!M17*0.6</f>
        <v/>
      </c>
      <c r="I21" s="46">
        <f>'P&amp;L Mensile'!M17*0.6</f>
        <v/>
      </c>
      <c r="J21" s="46">
        <f>'P&amp;L Mensile'!M17*0.6</f>
        <v/>
      </c>
      <c r="K21" s="46">
        <f>'P&amp;L Mensile'!M17*1.0</f>
        <v/>
      </c>
      <c r="L21" s="46">
        <f>'P&amp;L Mensile'!M17*1.0</f>
        <v/>
      </c>
      <c r="M21" s="46">
        <f>'P&amp;L Mensile'!M17*1.0</f>
        <v/>
      </c>
      <c r="N21" s="46">
        <f>'P&amp;L Mensile'!M17*1.0</f>
        <v/>
      </c>
      <c r="O21" s="46">
        <f>'P&amp;L Mensile'!M17*1.0</f>
        <v/>
      </c>
      <c r="P21" s="46">
        <f>'P&amp;L Mensile'!M17*1.0</f>
        <v/>
      </c>
      <c r="Q21" s="46">
        <f>'P&amp;L Mensile'!M17*1.0</f>
        <v/>
      </c>
      <c r="R21" s="46">
        <f>'P&amp;L Mensile'!M17*1.0</f>
        <v/>
      </c>
      <c r="S21" s="46">
        <f>'P&amp;L Mensile'!M17*1.0</f>
        <v/>
      </c>
      <c r="T21" s="46">
        <f>'P&amp;L Mensile'!M17*1.0</f>
        <v/>
      </c>
      <c r="U21" s="46">
        <f>'P&amp;L Mensile'!M17*1.0</f>
        <v/>
      </c>
      <c r="V21" s="46">
        <f>'P&amp;L Mensile'!M17*1.0</f>
        <v/>
      </c>
      <c r="W21" s="46">
        <f>'P&amp;L Mensile'!M17*1.0</f>
        <v/>
      </c>
      <c r="X21" s="46">
        <f>'P&amp;L Mensile'!M17*1.0</f>
        <v/>
      </c>
      <c r="Y21" s="46">
        <f>'P&amp;L Mensile'!M17*1.0</f>
        <v/>
      </c>
    </row>
    <row r="22">
      <c r="A22" t="inlineStr">
        <is>
          <t xml:space="preserve">  OPEX Punto Vendita 1</t>
        </is>
      </c>
      <c r="B22" s="46">
        <f>'P&amp;L Mensile'!M30</f>
        <v/>
      </c>
      <c r="C22" s="46">
        <f>'P&amp;L Mensile'!M30</f>
        <v/>
      </c>
      <c r="D22" s="46">
        <f>'P&amp;L Mensile'!M30</f>
        <v/>
      </c>
      <c r="E22" s="46">
        <f>'P&amp;L Mensile'!M30</f>
        <v/>
      </c>
      <c r="F22" s="46">
        <f>'P&amp;L Mensile'!M30</f>
        <v/>
      </c>
      <c r="G22" s="46">
        <f>'P&amp;L Mensile'!M30</f>
        <v/>
      </c>
      <c r="H22" s="46">
        <f>'P&amp;L Mensile'!M30</f>
        <v/>
      </c>
      <c r="I22" s="46">
        <f>'P&amp;L Mensile'!M30</f>
        <v/>
      </c>
      <c r="J22" s="46">
        <f>'P&amp;L Mensile'!M30</f>
        <v/>
      </c>
      <c r="K22" s="46">
        <f>'P&amp;L Mensile'!M30</f>
        <v/>
      </c>
      <c r="L22" s="46">
        <f>'P&amp;L Mensile'!M30</f>
        <v/>
      </c>
      <c r="M22" s="46">
        <f>'P&amp;L Mensile'!M30</f>
        <v/>
      </c>
      <c r="N22" s="46">
        <f>'P&amp;L Mensile'!M30</f>
        <v/>
      </c>
      <c r="O22" s="46">
        <f>'P&amp;L Mensile'!M30</f>
        <v/>
      </c>
      <c r="P22" s="46">
        <f>'P&amp;L Mensile'!M30</f>
        <v/>
      </c>
      <c r="Q22" s="46">
        <f>'P&amp;L Mensile'!M30</f>
        <v/>
      </c>
      <c r="R22" s="46">
        <f>'P&amp;L Mensile'!M30</f>
        <v/>
      </c>
      <c r="S22" s="46">
        <f>'P&amp;L Mensile'!M30</f>
        <v/>
      </c>
      <c r="T22" s="46">
        <f>'P&amp;L Mensile'!M30</f>
        <v/>
      </c>
      <c r="U22" s="46">
        <f>'P&amp;L Mensile'!M30</f>
        <v/>
      </c>
      <c r="V22" s="46">
        <f>'P&amp;L Mensile'!M30</f>
        <v/>
      </c>
      <c r="W22" s="46">
        <f>'P&amp;L Mensile'!M30</f>
        <v/>
      </c>
      <c r="X22" s="46">
        <f>'P&amp;L Mensile'!M30</f>
        <v/>
      </c>
      <c r="Y22" s="46">
        <f>'P&amp;L Mensile'!M30</f>
        <v/>
      </c>
    </row>
    <row r="23">
      <c r="A23" s="40" t="inlineStr">
        <is>
          <t xml:space="preserve">  CF Punto Vendita 1</t>
        </is>
      </c>
      <c r="B23" s="46">
        <f>B20-'Investimento &amp; ROI'!B15-B21-B22</f>
        <v/>
      </c>
      <c r="C23" s="46">
        <f>C20-0-C21-C22</f>
        <v/>
      </c>
      <c r="D23" s="46">
        <f>D20-0-D21-D22</f>
        <v/>
      </c>
      <c r="E23" s="46">
        <f>E20-0-E21-E22</f>
        <v/>
      </c>
      <c r="F23" s="46">
        <f>F20-0-F21-F22</f>
        <v/>
      </c>
      <c r="G23" s="46">
        <f>G20-0-G21-G22</f>
        <v/>
      </c>
      <c r="H23" s="46">
        <f>H20-0-H21-H22</f>
        <v/>
      </c>
      <c r="I23" s="46">
        <f>I20-0-I21-I22</f>
        <v/>
      </c>
      <c r="J23" s="46">
        <f>J20-0-J21-J22</f>
        <v/>
      </c>
      <c r="K23" s="46">
        <f>K20-0-K21-K22</f>
        <v/>
      </c>
      <c r="L23" s="46">
        <f>L20-0-L21-L22</f>
        <v/>
      </c>
      <c r="M23" s="46">
        <f>M20-0-M21-M22</f>
        <v/>
      </c>
      <c r="N23" s="46">
        <f>N20-0-N21-N22</f>
        <v/>
      </c>
      <c r="O23" s="46">
        <f>O20-0-O21-O22</f>
        <v/>
      </c>
      <c r="P23" s="46">
        <f>P20-0-P21-P22</f>
        <v/>
      </c>
      <c r="Q23" s="46">
        <f>Q20-0-Q21-Q22</f>
        <v/>
      </c>
      <c r="R23" s="46">
        <f>R20-0-R21-R22</f>
        <v/>
      </c>
      <c r="S23" s="46">
        <f>S20-0-S21-S22</f>
        <v/>
      </c>
      <c r="T23" s="46">
        <f>T20-0-T21-T22</f>
        <v/>
      </c>
      <c r="U23" s="46">
        <f>U20-0-U21-U22</f>
        <v/>
      </c>
      <c r="V23" s="46">
        <f>V20-0-V21-V22</f>
        <v/>
      </c>
      <c r="W23" s="46">
        <f>W20-0-W21-W22</f>
        <v/>
      </c>
      <c r="X23" s="46">
        <f>X20-0-X21-X22</f>
        <v/>
      </c>
      <c r="Y23" s="46">
        <f>Y20-0-Y21-Y22</f>
        <v/>
      </c>
    </row>
    <row r="25">
      <c r="A25" s="16" t="inlineStr">
        <is>
          <t>DETTAGLIO Punto Vendita 2</t>
        </is>
      </c>
    </row>
    <row r="26">
      <c r="A26" t="inlineStr">
        <is>
          <t xml:space="preserve">  Ricavi Punto Vendita 2</t>
        </is>
      </c>
      <c r="B26" s="46" t="n">
        <v>0</v>
      </c>
      <c r="C26" s="46" t="n">
        <v>0</v>
      </c>
      <c r="D26" s="46" t="n">
        <v>0</v>
      </c>
      <c r="E26" s="46" t="n">
        <v>0</v>
      </c>
      <c r="F26" s="46" t="n">
        <v>0</v>
      </c>
      <c r="G26" s="46" t="n">
        <v>0</v>
      </c>
      <c r="H26" s="46" t="n">
        <v>0</v>
      </c>
      <c r="I26" s="46" t="n">
        <v>0</v>
      </c>
      <c r="J26" s="46" t="n">
        <v>0</v>
      </c>
      <c r="K26" s="46" t="n">
        <v>0</v>
      </c>
      <c r="L26" s="46" t="n">
        <v>0</v>
      </c>
      <c r="M26" s="46" t="n">
        <v>0</v>
      </c>
      <c r="N26" s="46">
        <f>'P&amp;L Mensile'!M11*0.3</f>
        <v/>
      </c>
      <c r="O26" s="46">
        <f>'P&amp;L Mensile'!M11*0.3</f>
        <v/>
      </c>
      <c r="P26" s="46">
        <f>'P&amp;L Mensile'!M11*0.6</f>
        <v/>
      </c>
      <c r="Q26" s="46">
        <f>'P&amp;L Mensile'!M11*0.6</f>
        <v/>
      </c>
      <c r="R26" s="46">
        <f>'P&amp;L Mensile'!M11*0.6</f>
        <v/>
      </c>
      <c r="S26" s="46">
        <f>'P&amp;L Mensile'!M11*0.6</f>
        <v/>
      </c>
      <c r="T26" s="46">
        <f>'P&amp;L Mensile'!M11*0.6</f>
        <v/>
      </c>
      <c r="U26" s="46">
        <f>'P&amp;L Mensile'!M11*0.6</f>
        <v/>
      </c>
      <c r="V26" s="46">
        <f>'P&amp;L Mensile'!M11*0.6</f>
        <v/>
      </c>
      <c r="W26" s="46">
        <f>'P&amp;L Mensile'!M11*1.0</f>
        <v/>
      </c>
      <c r="X26" s="46">
        <f>'P&amp;L Mensile'!M11*1.0</f>
        <v/>
      </c>
      <c r="Y26" s="46">
        <f>'P&amp;L Mensile'!M11*1.0</f>
        <v/>
      </c>
    </row>
    <row r="27">
      <c r="A27" t="inlineStr">
        <is>
          <t xml:space="preserve">  COGS Punto Vendita 2</t>
        </is>
      </c>
      <c r="B27" s="46" t="n">
        <v>0</v>
      </c>
      <c r="C27" s="46" t="n">
        <v>0</v>
      </c>
      <c r="D27" s="46" t="n">
        <v>0</v>
      </c>
      <c r="E27" s="46" t="n">
        <v>0</v>
      </c>
      <c r="F27" s="46" t="n">
        <v>0</v>
      </c>
      <c r="G27" s="46" t="n">
        <v>0</v>
      </c>
      <c r="H27" s="46" t="n">
        <v>0</v>
      </c>
      <c r="I27" s="46" t="n">
        <v>0</v>
      </c>
      <c r="J27" s="46" t="n">
        <v>0</v>
      </c>
      <c r="K27" s="46" t="n">
        <v>0</v>
      </c>
      <c r="L27" s="46" t="n">
        <v>0</v>
      </c>
      <c r="M27" s="46" t="n">
        <v>0</v>
      </c>
      <c r="N27" s="46">
        <f>'P&amp;L Mensile'!M17*0.3</f>
        <v/>
      </c>
      <c r="O27" s="46">
        <f>'P&amp;L Mensile'!M17*0.3</f>
        <v/>
      </c>
      <c r="P27" s="46">
        <f>'P&amp;L Mensile'!M17*0.6</f>
        <v/>
      </c>
      <c r="Q27" s="46">
        <f>'P&amp;L Mensile'!M17*0.6</f>
        <v/>
      </c>
      <c r="R27" s="46">
        <f>'P&amp;L Mensile'!M17*0.6</f>
        <v/>
      </c>
      <c r="S27" s="46">
        <f>'P&amp;L Mensile'!M17*0.6</f>
        <v/>
      </c>
      <c r="T27" s="46">
        <f>'P&amp;L Mensile'!M17*0.6</f>
        <v/>
      </c>
      <c r="U27" s="46">
        <f>'P&amp;L Mensile'!M17*0.6</f>
        <v/>
      </c>
      <c r="V27" s="46">
        <f>'P&amp;L Mensile'!M17*0.6</f>
        <v/>
      </c>
      <c r="W27" s="46">
        <f>'P&amp;L Mensile'!M17*1.0</f>
        <v/>
      </c>
      <c r="X27" s="46">
        <f>'P&amp;L Mensile'!M17*1.0</f>
        <v/>
      </c>
      <c r="Y27" s="46">
        <f>'P&amp;L Mensile'!M17*1.0</f>
        <v/>
      </c>
    </row>
    <row r="28">
      <c r="A28" t="inlineStr">
        <is>
          <t xml:space="preserve">  OPEX Punto Vendita 2</t>
        </is>
      </c>
      <c r="B28" s="46" t="n">
        <v>0</v>
      </c>
      <c r="C28" s="46" t="n">
        <v>0</v>
      </c>
      <c r="D28" s="46" t="n">
        <v>0</v>
      </c>
      <c r="E28" s="46" t="n">
        <v>0</v>
      </c>
      <c r="F28" s="46" t="n">
        <v>0</v>
      </c>
      <c r="G28" s="46" t="n">
        <v>0</v>
      </c>
      <c r="H28" s="46" t="n">
        <v>0</v>
      </c>
      <c r="I28" s="46" t="n">
        <v>0</v>
      </c>
      <c r="J28" s="46" t="n">
        <v>0</v>
      </c>
      <c r="K28" s="46" t="n">
        <v>0</v>
      </c>
      <c r="L28" s="46" t="n">
        <v>0</v>
      </c>
      <c r="M28" s="46" t="n">
        <v>0</v>
      </c>
      <c r="N28" s="46">
        <f>'P&amp;L Mensile'!M30</f>
        <v/>
      </c>
      <c r="O28" s="46">
        <f>'P&amp;L Mensile'!M30</f>
        <v/>
      </c>
      <c r="P28" s="46">
        <f>'P&amp;L Mensile'!M30</f>
        <v/>
      </c>
      <c r="Q28" s="46">
        <f>'P&amp;L Mensile'!M30</f>
        <v/>
      </c>
      <c r="R28" s="46">
        <f>'P&amp;L Mensile'!M30</f>
        <v/>
      </c>
      <c r="S28" s="46">
        <f>'P&amp;L Mensile'!M30</f>
        <v/>
      </c>
      <c r="T28" s="46">
        <f>'P&amp;L Mensile'!M30</f>
        <v/>
      </c>
      <c r="U28" s="46">
        <f>'P&amp;L Mensile'!M30</f>
        <v/>
      </c>
      <c r="V28" s="46">
        <f>'P&amp;L Mensile'!M30</f>
        <v/>
      </c>
      <c r="W28" s="46">
        <f>'P&amp;L Mensile'!M30</f>
        <v/>
      </c>
      <c r="X28" s="46">
        <f>'P&amp;L Mensile'!M30</f>
        <v/>
      </c>
      <c r="Y28" s="46">
        <f>'P&amp;L Mensile'!M30</f>
        <v/>
      </c>
    </row>
    <row r="29">
      <c r="A29" s="40" t="inlineStr">
        <is>
          <t xml:space="preserve">  CF Punto Vendita 2</t>
        </is>
      </c>
      <c r="B29" s="46">
        <f>B26-0-B27-B28</f>
        <v/>
      </c>
      <c r="C29" s="46">
        <f>C26-0-C27-C28</f>
        <v/>
      </c>
      <c r="D29" s="46">
        <f>D26-0-D27-D28</f>
        <v/>
      </c>
      <c r="E29" s="46">
        <f>E26-0-E27-E28</f>
        <v/>
      </c>
      <c r="F29" s="46">
        <f>F26-0-F27-F28</f>
        <v/>
      </c>
      <c r="G29" s="46">
        <f>G26-0-G27-G28</f>
        <v/>
      </c>
      <c r="H29" s="46">
        <f>H26-0-H27-H28</f>
        <v/>
      </c>
      <c r="I29" s="46">
        <f>I26-0-I27-I28</f>
        <v/>
      </c>
      <c r="J29" s="46">
        <f>J26-0-J27-J28</f>
        <v/>
      </c>
      <c r="K29" s="46">
        <f>K26-0-K27-K28</f>
        <v/>
      </c>
      <c r="L29" s="46">
        <f>L26-0-L27-L28</f>
        <v/>
      </c>
      <c r="M29" s="46">
        <f>M26-0-M27-M28</f>
        <v/>
      </c>
      <c r="N29" s="46">
        <f>N26-'Investimento &amp; ROI'!B15-N27-N28</f>
        <v/>
      </c>
      <c r="O29" s="46">
        <f>O26-0-O27-O28</f>
        <v/>
      </c>
      <c r="P29" s="46">
        <f>P26-0-P27-P28</f>
        <v/>
      </c>
      <c r="Q29" s="46">
        <f>Q26-0-Q27-Q28</f>
        <v/>
      </c>
      <c r="R29" s="46">
        <f>R26-0-R27-R28</f>
        <v/>
      </c>
      <c r="S29" s="46">
        <f>S26-0-S27-S28</f>
        <v/>
      </c>
      <c r="T29" s="46">
        <f>T26-0-T27-T28</f>
        <v/>
      </c>
      <c r="U29" s="46">
        <f>U26-0-U27-U28</f>
        <v/>
      </c>
      <c r="V29" s="46">
        <f>V26-0-V27-V28</f>
        <v/>
      </c>
      <c r="W29" s="46">
        <f>W26-0-W27-W28</f>
        <v/>
      </c>
      <c r="X29" s="46">
        <f>X26-0-X27-X28</f>
        <v/>
      </c>
      <c r="Y29" s="46">
        <f>Y26-0-Y27-Y28</f>
        <v/>
      </c>
    </row>
    <row r="31">
      <c r="A31" s="16" t="inlineStr">
        <is>
          <t>DETTAGLIO Punto Vendita 3</t>
        </is>
      </c>
    </row>
    <row r="32">
      <c r="A32" t="inlineStr">
        <is>
          <t xml:space="preserve">  Ricavi Punto Vendita 3</t>
        </is>
      </c>
      <c r="B32" s="46" t="n">
        <v>0</v>
      </c>
      <c r="C32" s="46" t="n">
        <v>0</v>
      </c>
      <c r="D32" s="46" t="n">
        <v>0</v>
      </c>
      <c r="E32" s="46" t="n">
        <v>0</v>
      </c>
      <c r="F32" s="46" t="n">
        <v>0</v>
      </c>
      <c r="G32" s="46" t="n">
        <v>0</v>
      </c>
      <c r="H32" s="46" t="n">
        <v>0</v>
      </c>
      <c r="I32" s="46" t="n">
        <v>0</v>
      </c>
      <c r="J32" s="46" t="n">
        <v>0</v>
      </c>
      <c r="K32" s="46" t="n">
        <v>0</v>
      </c>
      <c r="L32" s="46" t="n">
        <v>0</v>
      </c>
      <c r="M32" s="46" t="n">
        <v>0</v>
      </c>
      <c r="N32" s="46" t="n">
        <v>0</v>
      </c>
      <c r="O32" s="46" t="n">
        <v>0</v>
      </c>
      <c r="P32" s="46">
        <f>'P&amp;L Mensile'!M11*0.3</f>
        <v/>
      </c>
      <c r="Q32" s="46">
        <f>'P&amp;L Mensile'!M11*0.3</f>
        <v/>
      </c>
      <c r="R32" s="46">
        <f>'P&amp;L Mensile'!M11*0.6</f>
        <v/>
      </c>
      <c r="S32" s="46">
        <f>'P&amp;L Mensile'!M11*0.6</f>
        <v/>
      </c>
      <c r="T32" s="46">
        <f>'P&amp;L Mensile'!M11*0.6</f>
        <v/>
      </c>
      <c r="U32" s="46">
        <f>'P&amp;L Mensile'!M11*0.6</f>
        <v/>
      </c>
      <c r="V32" s="46">
        <f>'P&amp;L Mensile'!M11*0.6</f>
        <v/>
      </c>
      <c r="W32" s="46">
        <f>'P&amp;L Mensile'!M11*0.6</f>
        <v/>
      </c>
      <c r="X32" s="46">
        <f>'P&amp;L Mensile'!M11*0.6</f>
        <v/>
      </c>
      <c r="Y32" s="46">
        <f>'P&amp;L Mensile'!M11*1.0</f>
        <v/>
      </c>
    </row>
    <row r="33">
      <c r="A33" t="inlineStr">
        <is>
          <t xml:space="preserve">  COGS Punto Vendita 3</t>
        </is>
      </c>
      <c r="B33" s="46" t="n">
        <v>0</v>
      </c>
      <c r="C33" s="46" t="n">
        <v>0</v>
      </c>
      <c r="D33" s="46" t="n">
        <v>0</v>
      </c>
      <c r="E33" s="46" t="n">
        <v>0</v>
      </c>
      <c r="F33" s="46" t="n">
        <v>0</v>
      </c>
      <c r="G33" s="46" t="n">
        <v>0</v>
      </c>
      <c r="H33" s="46" t="n">
        <v>0</v>
      </c>
      <c r="I33" s="46" t="n">
        <v>0</v>
      </c>
      <c r="J33" s="46" t="n">
        <v>0</v>
      </c>
      <c r="K33" s="46" t="n">
        <v>0</v>
      </c>
      <c r="L33" s="46" t="n">
        <v>0</v>
      </c>
      <c r="M33" s="46" t="n">
        <v>0</v>
      </c>
      <c r="N33" s="46" t="n">
        <v>0</v>
      </c>
      <c r="O33" s="46" t="n">
        <v>0</v>
      </c>
      <c r="P33" s="46">
        <f>'P&amp;L Mensile'!M17*0.3</f>
        <v/>
      </c>
      <c r="Q33" s="46">
        <f>'P&amp;L Mensile'!M17*0.3</f>
        <v/>
      </c>
      <c r="R33" s="46">
        <f>'P&amp;L Mensile'!M17*0.6</f>
        <v/>
      </c>
      <c r="S33" s="46">
        <f>'P&amp;L Mensile'!M17*0.6</f>
        <v/>
      </c>
      <c r="T33" s="46">
        <f>'P&amp;L Mensile'!M17*0.6</f>
        <v/>
      </c>
      <c r="U33" s="46">
        <f>'P&amp;L Mensile'!M17*0.6</f>
        <v/>
      </c>
      <c r="V33" s="46">
        <f>'P&amp;L Mensile'!M17*0.6</f>
        <v/>
      </c>
      <c r="W33" s="46">
        <f>'P&amp;L Mensile'!M17*0.6</f>
        <v/>
      </c>
      <c r="X33" s="46">
        <f>'P&amp;L Mensile'!M17*0.6</f>
        <v/>
      </c>
      <c r="Y33" s="46">
        <f>'P&amp;L Mensile'!M17*1.0</f>
        <v/>
      </c>
    </row>
    <row r="34">
      <c r="A34" t="inlineStr">
        <is>
          <t xml:space="preserve">  OPEX Punto Vendita 3</t>
        </is>
      </c>
      <c r="B34" s="46" t="n">
        <v>0</v>
      </c>
      <c r="C34" s="46" t="n">
        <v>0</v>
      </c>
      <c r="D34" s="46" t="n">
        <v>0</v>
      </c>
      <c r="E34" s="46" t="n">
        <v>0</v>
      </c>
      <c r="F34" s="46" t="n">
        <v>0</v>
      </c>
      <c r="G34" s="46" t="n">
        <v>0</v>
      </c>
      <c r="H34" s="46" t="n">
        <v>0</v>
      </c>
      <c r="I34" s="46" t="n">
        <v>0</v>
      </c>
      <c r="J34" s="46" t="n">
        <v>0</v>
      </c>
      <c r="K34" s="46" t="n">
        <v>0</v>
      </c>
      <c r="L34" s="46" t="n">
        <v>0</v>
      </c>
      <c r="M34" s="46" t="n">
        <v>0</v>
      </c>
      <c r="N34" s="46" t="n">
        <v>0</v>
      </c>
      <c r="O34" s="46" t="n">
        <v>0</v>
      </c>
      <c r="P34" s="46">
        <f>'P&amp;L Mensile'!M30</f>
        <v/>
      </c>
      <c r="Q34" s="46">
        <f>'P&amp;L Mensile'!M30</f>
        <v/>
      </c>
      <c r="R34" s="46">
        <f>'P&amp;L Mensile'!M30</f>
        <v/>
      </c>
      <c r="S34" s="46">
        <f>'P&amp;L Mensile'!M30</f>
        <v/>
      </c>
      <c r="T34" s="46">
        <f>'P&amp;L Mensile'!M30</f>
        <v/>
      </c>
      <c r="U34" s="46">
        <f>'P&amp;L Mensile'!M30</f>
        <v/>
      </c>
      <c r="V34" s="46">
        <f>'P&amp;L Mensile'!M30</f>
        <v/>
      </c>
      <c r="W34" s="46">
        <f>'P&amp;L Mensile'!M30</f>
        <v/>
      </c>
      <c r="X34" s="46">
        <f>'P&amp;L Mensile'!M30</f>
        <v/>
      </c>
      <c r="Y34" s="46">
        <f>'P&amp;L Mensile'!M30</f>
        <v/>
      </c>
    </row>
    <row r="35">
      <c r="A35" s="40" t="inlineStr">
        <is>
          <t xml:space="preserve">  CF Punto Vendita 3</t>
        </is>
      </c>
      <c r="B35" s="46">
        <f>B32-0-B33-B34</f>
        <v/>
      </c>
      <c r="C35" s="46">
        <f>C32-0-C33-C34</f>
        <v/>
      </c>
      <c r="D35" s="46">
        <f>D32-0-D33-D34</f>
        <v/>
      </c>
      <c r="E35" s="46">
        <f>E32-0-E33-E34</f>
        <v/>
      </c>
      <c r="F35" s="46">
        <f>F32-0-F33-F34</f>
        <v/>
      </c>
      <c r="G35" s="46">
        <f>G32-0-G33-G34</f>
        <v/>
      </c>
      <c r="H35" s="46">
        <f>H32-0-H33-H34</f>
        <v/>
      </c>
      <c r="I35" s="46">
        <f>I32-0-I33-I34</f>
        <v/>
      </c>
      <c r="J35" s="46">
        <f>J32-0-J33-J34</f>
        <v/>
      </c>
      <c r="K35" s="46">
        <f>K32-0-K33-K34</f>
        <v/>
      </c>
      <c r="L35" s="46">
        <f>L32-0-L33-L34</f>
        <v/>
      </c>
      <c r="M35" s="46">
        <f>M32-0-M33-M34</f>
        <v/>
      </c>
      <c r="N35" s="46">
        <f>N32-0-N33-N34</f>
        <v/>
      </c>
      <c r="O35" s="46">
        <f>O32-0-O33-O34</f>
        <v/>
      </c>
      <c r="P35" s="46">
        <f>P32-'Investimento &amp; ROI'!B15-P33-P34</f>
        <v/>
      </c>
      <c r="Q35" s="46">
        <f>Q32-0-Q33-Q34</f>
        <v/>
      </c>
      <c r="R35" s="46">
        <f>R32-0-R33-R34</f>
        <v/>
      </c>
      <c r="S35" s="46">
        <f>S32-0-S33-S34</f>
        <v/>
      </c>
      <c r="T35" s="46">
        <f>T32-0-T33-T34</f>
        <v/>
      </c>
      <c r="U35" s="46">
        <f>U32-0-U33-U34</f>
        <v/>
      </c>
      <c r="V35" s="46">
        <f>V32-0-V33-V34</f>
        <v/>
      </c>
      <c r="W35" s="46">
        <f>W32-0-W33-W34</f>
        <v/>
      </c>
      <c r="X35" s="46">
        <f>X32-0-X33-X34</f>
        <v/>
      </c>
      <c r="Y35" s="46">
        <f>Y32-0-Y33-Y34</f>
        <v/>
      </c>
    </row>
    <row r="37">
      <c r="A37" s="16" t="inlineStr">
        <is>
          <t>DETTAGLIO Punto Vendita 4</t>
        </is>
      </c>
    </row>
    <row r="38">
      <c r="A38" t="inlineStr">
        <is>
          <t xml:space="preserve">  Ricavi Punto Vendita 4</t>
        </is>
      </c>
      <c r="B38" s="46" t="n">
        <v>0</v>
      </c>
      <c r="C38" s="46" t="n">
        <v>0</v>
      </c>
      <c r="D38" s="46" t="n">
        <v>0</v>
      </c>
      <c r="E38" s="46" t="n">
        <v>0</v>
      </c>
      <c r="F38" s="46" t="n">
        <v>0</v>
      </c>
      <c r="G38" s="46" t="n">
        <v>0</v>
      </c>
      <c r="H38" s="46" t="n">
        <v>0</v>
      </c>
      <c r="I38" s="46" t="n">
        <v>0</v>
      </c>
      <c r="J38" s="46" t="n">
        <v>0</v>
      </c>
      <c r="K38" s="46" t="n">
        <v>0</v>
      </c>
      <c r="L38" s="46" t="n">
        <v>0</v>
      </c>
      <c r="M38" s="46" t="n">
        <v>0</v>
      </c>
      <c r="N38" s="46" t="n">
        <v>0</v>
      </c>
      <c r="O38" s="46" t="n">
        <v>0</v>
      </c>
      <c r="P38" s="46" t="n">
        <v>0</v>
      </c>
      <c r="Q38" s="46" t="n">
        <v>0</v>
      </c>
      <c r="R38" s="46">
        <f>'P&amp;L Mensile'!M11*0.3</f>
        <v/>
      </c>
      <c r="S38" s="46">
        <f>'P&amp;L Mensile'!M11*0.3</f>
        <v/>
      </c>
      <c r="T38" s="46">
        <f>'P&amp;L Mensile'!M11*0.6</f>
        <v/>
      </c>
      <c r="U38" s="46">
        <f>'P&amp;L Mensile'!M11*0.6</f>
        <v/>
      </c>
      <c r="V38" s="46">
        <f>'P&amp;L Mensile'!M11*0.6</f>
        <v/>
      </c>
      <c r="W38" s="46">
        <f>'P&amp;L Mensile'!M11*0.6</f>
        <v/>
      </c>
      <c r="X38" s="46">
        <f>'P&amp;L Mensile'!M11*0.6</f>
        <v/>
      </c>
      <c r="Y38" s="46">
        <f>'P&amp;L Mensile'!M11*0.6</f>
        <v/>
      </c>
    </row>
    <row r="39">
      <c r="A39" t="inlineStr">
        <is>
          <t xml:space="preserve">  COGS Punto Vendita 4</t>
        </is>
      </c>
      <c r="B39" s="46" t="n">
        <v>0</v>
      </c>
      <c r="C39" s="46" t="n">
        <v>0</v>
      </c>
      <c r="D39" s="46" t="n">
        <v>0</v>
      </c>
      <c r="E39" s="46" t="n">
        <v>0</v>
      </c>
      <c r="F39" s="46" t="n">
        <v>0</v>
      </c>
      <c r="G39" s="46" t="n">
        <v>0</v>
      </c>
      <c r="H39" s="46" t="n">
        <v>0</v>
      </c>
      <c r="I39" s="46" t="n">
        <v>0</v>
      </c>
      <c r="J39" s="46" t="n">
        <v>0</v>
      </c>
      <c r="K39" s="46" t="n">
        <v>0</v>
      </c>
      <c r="L39" s="46" t="n">
        <v>0</v>
      </c>
      <c r="M39" s="46" t="n">
        <v>0</v>
      </c>
      <c r="N39" s="46" t="n">
        <v>0</v>
      </c>
      <c r="O39" s="46" t="n">
        <v>0</v>
      </c>
      <c r="P39" s="46" t="n">
        <v>0</v>
      </c>
      <c r="Q39" s="46" t="n">
        <v>0</v>
      </c>
      <c r="R39" s="46">
        <f>'P&amp;L Mensile'!M17*0.3</f>
        <v/>
      </c>
      <c r="S39" s="46">
        <f>'P&amp;L Mensile'!M17*0.3</f>
        <v/>
      </c>
      <c r="T39" s="46">
        <f>'P&amp;L Mensile'!M17*0.6</f>
        <v/>
      </c>
      <c r="U39" s="46">
        <f>'P&amp;L Mensile'!M17*0.6</f>
        <v/>
      </c>
      <c r="V39" s="46">
        <f>'P&amp;L Mensile'!M17*0.6</f>
        <v/>
      </c>
      <c r="W39" s="46">
        <f>'P&amp;L Mensile'!M17*0.6</f>
        <v/>
      </c>
      <c r="X39" s="46">
        <f>'P&amp;L Mensile'!M17*0.6</f>
        <v/>
      </c>
      <c r="Y39" s="46">
        <f>'P&amp;L Mensile'!M17*0.6</f>
        <v/>
      </c>
    </row>
    <row r="40">
      <c r="A40" t="inlineStr">
        <is>
          <t xml:space="preserve">  OPEX Punto Vendita 4</t>
        </is>
      </c>
      <c r="B40" s="46" t="n">
        <v>0</v>
      </c>
      <c r="C40" s="46" t="n">
        <v>0</v>
      </c>
      <c r="D40" s="46" t="n">
        <v>0</v>
      </c>
      <c r="E40" s="46" t="n">
        <v>0</v>
      </c>
      <c r="F40" s="46" t="n">
        <v>0</v>
      </c>
      <c r="G40" s="46" t="n">
        <v>0</v>
      </c>
      <c r="H40" s="46" t="n">
        <v>0</v>
      </c>
      <c r="I40" s="46" t="n">
        <v>0</v>
      </c>
      <c r="J40" s="46" t="n">
        <v>0</v>
      </c>
      <c r="K40" s="46" t="n">
        <v>0</v>
      </c>
      <c r="L40" s="46" t="n">
        <v>0</v>
      </c>
      <c r="M40" s="46" t="n">
        <v>0</v>
      </c>
      <c r="N40" s="46" t="n">
        <v>0</v>
      </c>
      <c r="O40" s="46" t="n">
        <v>0</v>
      </c>
      <c r="P40" s="46" t="n">
        <v>0</v>
      </c>
      <c r="Q40" s="46" t="n">
        <v>0</v>
      </c>
      <c r="R40" s="46">
        <f>'P&amp;L Mensile'!M30</f>
        <v/>
      </c>
      <c r="S40" s="46">
        <f>'P&amp;L Mensile'!M30</f>
        <v/>
      </c>
      <c r="T40" s="46">
        <f>'P&amp;L Mensile'!M30</f>
        <v/>
      </c>
      <c r="U40" s="46">
        <f>'P&amp;L Mensile'!M30</f>
        <v/>
      </c>
      <c r="V40" s="46">
        <f>'P&amp;L Mensile'!M30</f>
        <v/>
      </c>
      <c r="W40" s="46">
        <f>'P&amp;L Mensile'!M30</f>
        <v/>
      </c>
      <c r="X40" s="46">
        <f>'P&amp;L Mensile'!M30</f>
        <v/>
      </c>
      <c r="Y40" s="46">
        <f>'P&amp;L Mensile'!M30</f>
        <v/>
      </c>
    </row>
    <row r="41">
      <c r="A41" s="40" t="inlineStr">
        <is>
          <t xml:space="preserve">  CF Punto Vendita 4</t>
        </is>
      </c>
      <c r="B41" s="46">
        <f>B38-0-B39-B40</f>
        <v/>
      </c>
      <c r="C41" s="46">
        <f>C38-0-C39-C40</f>
        <v/>
      </c>
      <c r="D41" s="46">
        <f>D38-0-D39-D40</f>
        <v/>
      </c>
      <c r="E41" s="46">
        <f>E38-0-E39-E40</f>
        <v/>
      </c>
      <c r="F41" s="46">
        <f>F38-0-F39-F40</f>
        <v/>
      </c>
      <c r="G41" s="46">
        <f>G38-0-G39-G40</f>
        <v/>
      </c>
      <c r="H41" s="46">
        <f>H38-0-H39-H40</f>
        <v/>
      </c>
      <c r="I41" s="46">
        <f>I38-0-I39-I40</f>
        <v/>
      </c>
      <c r="J41" s="46">
        <f>J38-0-J39-J40</f>
        <v/>
      </c>
      <c r="K41" s="46">
        <f>K38-0-K39-K40</f>
        <v/>
      </c>
      <c r="L41" s="46">
        <f>L38-0-L39-L40</f>
        <v/>
      </c>
      <c r="M41" s="46">
        <f>M38-0-M39-M40</f>
        <v/>
      </c>
      <c r="N41" s="46">
        <f>N38-0-N39-N40</f>
        <v/>
      </c>
      <c r="O41" s="46">
        <f>O38-0-O39-O40</f>
        <v/>
      </c>
      <c r="P41" s="46">
        <f>P38-0-P39-P40</f>
        <v/>
      </c>
      <c r="Q41" s="46">
        <f>Q38-0-Q39-Q40</f>
        <v/>
      </c>
      <c r="R41" s="46">
        <f>R38-'Investimento &amp; ROI'!B15-R39-R40</f>
        <v/>
      </c>
      <c r="S41" s="46">
        <f>S38-0-S39-S40</f>
        <v/>
      </c>
      <c r="T41" s="46">
        <f>T38-0-T39-T40</f>
        <v/>
      </c>
      <c r="U41" s="46">
        <f>U38-0-U39-U40</f>
        <v/>
      </c>
      <c r="V41" s="46">
        <f>V38-0-V39-V40</f>
        <v/>
      </c>
      <c r="W41" s="46">
        <f>W38-0-W39-W40</f>
        <v/>
      </c>
      <c r="X41" s="46">
        <f>X38-0-X39-X40</f>
        <v/>
      </c>
      <c r="Y41" s="46">
        <f>Y38-0-Y39-Y40</f>
        <v/>
      </c>
    </row>
    <row r="43">
      <c r="A43" s="16" t="inlineStr">
        <is>
          <t>DETTAGLIO Punto Vendita 5</t>
        </is>
      </c>
    </row>
    <row r="44">
      <c r="A44" t="inlineStr">
        <is>
          <t xml:space="preserve">  Ricavi Punto Vendita 5</t>
        </is>
      </c>
      <c r="B44" s="46" t="n">
        <v>0</v>
      </c>
      <c r="C44" s="46" t="n">
        <v>0</v>
      </c>
      <c r="D44" s="46" t="n">
        <v>0</v>
      </c>
      <c r="E44" s="46" t="n">
        <v>0</v>
      </c>
      <c r="F44" s="46" t="n">
        <v>0</v>
      </c>
      <c r="G44" s="46" t="n">
        <v>0</v>
      </c>
      <c r="H44" s="46" t="n">
        <v>0</v>
      </c>
      <c r="I44" s="46" t="n">
        <v>0</v>
      </c>
      <c r="J44" s="46" t="n">
        <v>0</v>
      </c>
      <c r="K44" s="46" t="n">
        <v>0</v>
      </c>
      <c r="L44" s="46" t="n">
        <v>0</v>
      </c>
      <c r="M44" s="46" t="n">
        <v>0</v>
      </c>
      <c r="N44" s="46" t="n">
        <v>0</v>
      </c>
      <c r="O44" s="46" t="n">
        <v>0</v>
      </c>
      <c r="P44" s="46" t="n">
        <v>0</v>
      </c>
      <c r="Q44" s="46" t="n">
        <v>0</v>
      </c>
      <c r="R44" s="46" t="n">
        <v>0</v>
      </c>
      <c r="S44" s="46" t="n">
        <v>0</v>
      </c>
      <c r="T44" s="46">
        <f>'P&amp;L Mensile'!M11*0.3</f>
        <v/>
      </c>
      <c r="U44" s="46">
        <f>'P&amp;L Mensile'!M11*0.3</f>
        <v/>
      </c>
      <c r="V44" s="46">
        <f>'P&amp;L Mensile'!M11*0.6</f>
        <v/>
      </c>
      <c r="W44" s="46">
        <f>'P&amp;L Mensile'!M11*0.6</f>
        <v/>
      </c>
      <c r="X44" s="46">
        <f>'P&amp;L Mensile'!M11*0.6</f>
        <v/>
      </c>
      <c r="Y44" s="46">
        <f>'P&amp;L Mensile'!M11*0.6</f>
        <v/>
      </c>
    </row>
    <row r="45">
      <c r="A45" t="inlineStr">
        <is>
          <t xml:space="preserve">  COGS Punto Vendita 5</t>
        </is>
      </c>
      <c r="B45" s="46" t="n">
        <v>0</v>
      </c>
      <c r="C45" s="46" t="n">
        <v>0</v>
      </c>
      <c r="D45" s="46" t="n">
        <v>0</v>
      </c>
      <c r="E45" s="46" t="n">
        <v>0</v>
      </c>
      <c r="F45" s="46" t="n">
        <v>0</v>
      </c>
      <c r="G45" s="46" t="n">
        <v>0</v>
      </c>
      <c r="H45" s="46" t="n">
        <v>0</v>
      </c>
      <c r="I45" s="46" t="n">
        <v>0</v>
      </c>
      <c r="J45" s="46" t="n">
        <v>0</v>
      </c>
      <c r="K45" s="46" t="n">
        <v>0</v>
      </c>
      <c r="L45" s="46" t="n">
        <v>0</v>
      </c>
      <c r="M45" s="46" t="n">
        <v>0</v>
      </c>
      <c r="N45" s="46" t="n">
        <v>0</v>
      </c>
      <c r="O45" s="46" t="n">
        <v>0</v>
      </c>
      <c r="P45" s="46" t="n">
        <v>0</v>
      </c>
      <c r="Q45" s="46" t="n">
        <v>0</v>
      </c>
      <c r="R45" s="46" t="n">
        <v>0</v>
      </c>
      <c r="S45" s="46" t="n">
        <v>0</v>
      </c>
      <c r="T45" s="46">
        <f>'P&amp;L Mensile'!M17*0.3</f>
        <v/>
      </c>
      <c r="U45" s="46">
        <f>'P&amp;L Mensile'!M17*0.3</f>
        <v/>
      </c>
      <c r="V45" s="46">
        <f>'P&amp;L Mensile'!M17*0.6</f>
        <v/>
      </c>
      <c r="W45" s="46">
        <f>'P&amp;L Mensile'!M17*0.6</f>
        <v/>
      </c>
      <c r="X45" s="46">
        <f>'P&amp;L Mensile'!M17*0.6</f>
        <v/>
      </c>
      <c r="Y45" s="46">
        <f>'P&amp;L Mensile'!M17*0.6</f>
        <v/>
      </c>
    </row>
    <row r="46">
      <c r="A46" t="inlineStr">
        <is>
          <t xml:space="preserve">  OPEX Punto Vendita 5</t>
        </is>
      </c>
      <c r="B46" s="46" t="n">
        <v>0</v>
      </c>
      <c r="C46" s="46" t="n">
        <v>0</v>
      </c>
      <c r="D46" s="46" t="n">
        <v>0</v>
      </c>
      <c r="E46" s="46" t="n">
        <v>0</v>
      </c>
      <c r="F46" s="46" t="n">
        <v>0</v>
      </c>
      <c r="G46" s="46" t="n">
        <v>0</v>
      </c>
      <c r="H46" s="46" t="n">
        <v>0</v>
      </c>
      <c r="I46" s="46" t="n">
        <v>0</v>
      </c>
      <c r="J46" s="46" t="n">
        <v>0</v>
      </c>
      <c r="K46" s="46" t="n">
        <v>0</v>
      </c>
      <c r="L46" s="46" t="n">
        <v>0</v>
      </c>
      <c r="M46" s="46" t="n">
        <v>0</v>
      </c>
      <c r="N46" s="46" t="n">
        <v>0</v>
      </c>
      <c r="O46" s="46" t="n">
        <v>0</v>
      </c>
      <c r="P46" s="46" t="n">
        <v>0</v>
      </c>
      <c r="Q46" s="46" t="n">
        <v>0</v>
      </c>
      <c r="R46" s="46" t="n">
        <v>0</v>
      </c>
      <c r="S46" s="46" t="n">
        <v>0</v>
      </c>
      <c r="T46" s="46">
        <f>'P&amp;L Mensile'!M30</f>
        <v/>
      </c>
      <c r="U46" s="46">
        <f>'P&amp;L Mensile'!M30</f>
        <v/>
      </c>
      <c r="V46" s="46">
        <f>'P&amp;L Mensile'!M30</f>
        <v/>
      </c>
      <c r="W46" s="46">
        <f>'P&amp;L Mensile'!M30</f>
        <v/>
      </c>
      <c r="X46" s="46">
        <f>'P&amp;L Mensile'!M30</f>
        <v/>
      </c>
      <c r="Y46" s="46">
        <f>'P&amp;L Mensile'!M30</f>
        <v/>
      </c>
    </row>
    <row r="47">
      <c r="A47" s="40" t="inlineStr">
        <is>
          <t xml:space="preserve">  CF Punto Vendita 5</t>
        </is>
      </c>
      <c r="B47" s="46">
        <f>B44-0-B45-B46</f>
        <v/>
      </c>
      <c r="C47" s="46">
        <f>C44-0-C45-C46</f>
        <v/>
      </c>
      <c r="D47" s="46">
        <f>D44-0-D45-D46</f>
        <v/>
      </c>
      <c r="E47" s="46">
        <f>E44-0-E45-E46</f>
        <v/>
      </c>
      <c r="F47" s="46">
        <f>F44-0-F45-F46</f>
        <v/>
      </c>
      <c r="G47" s="46">
        <f>G44-0-G45-G46</f>
        <v/>
      </c>
      <c r="H47" s="46">
        <f>H44-0-H45-H46</f>
        <v/>
      </c>
      <c r="I47" s="46">
        <f>I44-0-I45-I46</f>
        <v/>
      </c>
      <c r="J47" s="46">
        <f>J44-0-J45-J46</f>
        <v/>
      </c>
      <c r="K47" s="46">
        <f>K44-0-K45-K46</f>
        <v/>
      </c>
      <c r="L47" s="46">
        <f>L44-0-L45-L46</f>
        <v/>
      </c>
      <c r="M47" s="46">
        <f>M44-0-M45-M46</f>
        <v/>
      </c>
      <c r="N47" s="46">
        <f>N44-0-N45-N46</f>
        <v/>
      </c>
      <c r="O47" s="46">
        <f>O44-0-O45-O46</f>
        <v/>
      </c>
      <c r="P47" s="46">
        <f>P44-0-P45-P46</f>
        <v/>
      </c>
      <c r="Q47" s="46">
        <f>Q44-0-Q45-Q46</f>
        <v/>
      </c>
      <c r="R47" s="46">
        <f>R44-0-R45-R46</f>
        <v/>
      </c>
      <c r="S47" s="46">
        <f>S44-0-S45-S46</f>
        <v/>
      </c>
      <c r="T47" s="46">
        <f>T44-'Investimento &amp; ROI'!B15-T45-T46</f>
        <v/>
      </c>
      <c r="U47" s="46">
        <f>U44-0-U45-U46</f>
        <v/>
      </c>
      <c r="V47" s="46">
        <f>V44-0-V45-V46</f>
        <v/>
      </c>
      <c r="W47" s="46">
        <f>W44-0-W45-W46</f>
        <v/>
      </c>
      <c r="X47" s="46">
        <f>X44-0-X45-X46</f>
        <v/>
      </c>
      <c r="Y47" s="46">
        <f>Y44-0-Y45-Y46</f>
        <v/>
      </c>
    </row>
    <row r="49">
      <c r="A49" s="16" t="inlineStr">
        <is>
          <t>KPI MULTI-STORE</t>
        </is>
      </c>
    </row>
    <row r="50">
      <c r="A50" t="inlineStr">
        <is>
          <t>N° Punto Vendita Attivi</t>
        </is>
      </c>
      <c r="B50" s="12">
        <f>IF(1&gt;=1,1,0)+IF(1&gt;=13,1,0)+IF(1&gt;=15,1,0)+IF(1&gt;=17,1,0)+IF(1&gt;=19,1,0)</f>
        <v/>
      </c>
      <c r="C50" s="12">
        <f>IF(2&gt;=1,1,0)+IF(2&gt;=13,1,0)+IF(2&gt;=15,1,0)+IF(2&gt;=17,1,0)+IF(2&gt;=19,1,0)</f>
        <v/>
      </c>
      <c r="D50" s="12">
        <f>IF(3&gt;=1,1,0)+IF(3&gt;=13,1,0)+IF(3&gt;=15,1,0)+IF(3&gt;=17,1,0)+IF(3&gt;=19,1,0)</f>
        <v/>
      </c>
      <c r="E50" s="12">
        <f>IF(4&gt;=1,1,0)+IF(4&gt;=13,1,0)+IF(4&gt;=15,1,0)+IF(4&gt;=17,1,0)+IF(4&gt;=19,1,0)</f>
        <v/>
      </c>
      <c r="F50" s="12">
        <f>IF(5&gt;=1,1,0)+IF(5&gt;=13,1,0)+IF(5&gt;=15,1,0)+IF(5&gt;=17,1,0)+IF(5&gt;=19,1,0)</f>
        <v/>
      </c>
      <c r="G50" s="12">
        <f>IF(6&gt;=1,1,0)+IF(6&gt;=13,1,0)+IF(6&gt;=15,1,0)+IF(6&gt;=17,1,0)+IF(6&gt;=19,1,0)</f>
        <v/>
      </c>
      <c r="H50" s="12">
        <f>IF(7&gt;=1,1,0)+IF(7&gt;=13,1,0)+IF(7&gt;=15,1,0)+IF(7&gt;=17,1,0)+IF(7&gt;=19,1,0)</f>
        <v/>
      </c>
      <c r="I50" s="12">
        <f>IF(8&gt;=1,1,0)+IF(8&gt;=13,1,0)+IF(8&gt;=15,1,0)+IF(8&gt;=17,1,0)+IF(8&gt;=19,1,0)</f>
        <v/>
      </c>
      <c r="J50" s="12">
        <f>IF(9&gt;=1,1,0)+IF(9&gt;=13,1,0)+IF(9&gt;=15,1,0)+IF(9&gt;=17,1,0)+IF(9&gt;=19,1,0)</f>
        <v/>
      </c>
      <c r="K50" s="12">
        <f>IF(10&gt;=1,1,0)+IF(10&gt;=13,1,0)+IF(10&gt;=15,1,0)+IF(10&gt;=17,1,0)+IF(10&gt;=19,1,0)</f>
        <v/>
      </c>
      <c r="L50" s="12">
        <f>IF(11&gt;=1,1,0)+IF(11&gt;=13,1,0)+IF(11&gt;=15,1,0)+IF(11&gt;=17,1,0)+IF(11&gt;=19,1,0)</f>
        <v/>
      </c>
      <c r="M50" s="12">
        <f>IF(12&gt;=1,1,0)+IF(12&gt;=13,1,0)+IF(12&gt;=15,1,0)+IF(12&gt;=17,1,0)+IF(12&gt;=19,1,0)</f>
        <v/>
      </c>
      <c r="N50" s="12">
        <f>IF(13&gt;=1,1,0)+IF(13&gt;=13,1,0)+IF(13&gt;=15,1,0)+IF(13&gt;=17,1,0)+IF(13&gt;=19,1,0)</f>
        <v/>
      </c>
      <c r="O50" s="12">
        <f>IF(14&gt;=1,1,0)+IF(14&gt;=13,1,0)+IF(14&gt;=15,1,0)+IF(14&gt;=17,1,0)+IF(14&gt;=19,1,0)</f>
        <v/>
      </c>
      <c r="P50" s="12">
        <f>IF(15&gt;=1,1,0)+IF(15&gt;=13,1,0)+IF(15&gt;=15,1,0)+IF(15&gt;=17,1,0)+IF(15&gt;=19,1,0)</f>
        <v/>
      </c>
      <c r="Q50" s="12">
        <f>IF(16&gt;=1,1,0)+IF(16&gt;=13,1,0)+IF(16&gt;=15,1,0)+IF(16&gt;=17,1,0)+IF(16&gt;=19,1,0)</f>
        <v/>
      </c>
      <c r="R50" s="12">
        <f>IF(17&gt;=1,1,0)+IF(17&gt;=13,1,0)+IF(17&gt;=15,1,0)+IF(17&gt;=17,1,0)+IF(17&gt;=19,1,0)</f>
        <v/>
      </c>
      <c r="S50" s="12">
        <f>IF(18&gt;=1,1,0)+IF(18&gt;=13,1,0)+IF(18&gt;=15,1,0)+IF(18&gt;=17,1,0)+IF(18&gt;=19,1,0)</f>
        <v/>
      </c>
      <c r="T50" s="12">
        <f>IF(19&gt;=1,1,0)+IF(19&gt;=13,1,0)+IF(19&gt;=15,1,0)+IF(19&gt;=17,1,0)+IF(19&gt;=19,1,0)</f>
        <v/>
      </c>
      <c r="U50" s="12">
        <f>IF(20&gt;=1,1,0)+IF(20&gt;=13,1,0)+IF(20&gt;=15,1,0)+IF(20&gt;=17,1,0)+IF(20&gt;=19,1,0)</f>
        <v/>
      </c>
      <c r="V50" s="12">
        <f>IF(21&gt;=1,1,0)+IF(21&gt;=13,1,0)+IF(21&gt;=15,1,0)+IF(21&gt;=17,1,0)+IF(21&gt;=19,1,0)</f>
        <v/>
      </c>
      <c r="W50" s="12">
        <f>IF(22&gt;=1,1,0)+IF(22&gt;=13,1,0)+IF(22&gt;=15,1,0)+IF(22&gt;=17,1,0)+IF(22&gt;=19,1,0)</f>
        <v/>
      </c>
      <c r="X50" s="12">
        <f>IF(23&gt;=1,1,0)+IF(23&gt;=13,1,0)+IF(23&gt;=15,1,0)+IF(23&gt;=17,1,0)+IF(23&gt;=19,1,0)</f>
        <v/>
      </c>
      <c r="Y50" s="12">
        <f>IF(24&gt;=1,1,0)+IF(24&gt;=13,1,0)+IF(24&gt;=15,1,0)+IF(24&gt;=17,1,0)+IF(24&gt;=19,1,0)</f>
        <v/>
      </c>
    </row>
    <row r="51">
      <c r="A51" t="inlineStr">
        <is>
          <t>Ricavi Medi per Punto Vendita</t>
        </is>
      </c>
      <c r="B51" s="46">
        <f>IFERROR(B13/B50,0)</f>
        <v/>
      </c>
      <c r="C51" s="46">
        <f>IFERROR(C13/C50,0)</f>
        <v/>
      </c>
      <c r="D51" s="46">
        <f>IFERROR(D13/D50,0)</f>
        <v/>
      </c>
      <c r="E51" s="46">
        <f>IFERROR(E13/E50,0)</f>
        <v/>
      </c>
      <c r="F51" s="46">
        <f>IFERROR(F13/F50,0)</f>
        <v/>
      </c>
      <c r="G51" s="46">
        <f>IFERROR(G13/G50,0)</f>
        <v/>
      </c>
      <c r="H51" s="46">
        <f>IFERROR(H13/H50,0)</f>
        <v/>
      </c>
      <c r="I51" s="46">
        <f>IFERROR(I13/I50,0)</f>
        <v/>
      </c>
      <c r="J51" s="46">
        <f>IFERROR(J13/J50,0)</f>
        <v/>
      </c>
      <c r="K51" s="46">
        <f>IFERROR(K13/K50,0)</f>
        <v/>
      </c>
      <c r="L51" s="46">
        <f>IFERROR(L13/L50,0)</f>
        <v/>
      </c>
      <c r="M51" s="46">
        <f>IFERROR(M13/M50,0)</f>
        <v/>
      </c>
      <c r="N51" s="46">
        <f>IFERROR(N13/N50,0)</f>
        <v/>
      </c>
      <c r="O51" s="46">
        <f>IFERROR(O13/O50,0)</f>
        <v/>
      </c>
      <c r="P51" s="46">
        <f>IFERROR(P13/P50,0)</f>
        <v/>
      </c>
      <c r="Q51" s="46">
        <f>IFERROR(Q13/Q50,0)</f>
        <v/>
      </c>
      <c r="R51" s="46">
        <f>IFERROR(R13/R50,0)</f>
        <v/>
      </c>
      <c r="S51" s="46">
        <f>IFERROR(S13/S50,0)</f>
        <v/>
      </c>
      <c r="T51" s="46">
        <f>IFERROR(T13/T50,0)</f>
        <v/>
      </c>
      <c r="U51" s="46">
        <f>IFERROR(U13/U50,0)</f>
        <v/>
      </c>
      <c r="V51" s="46">
        <f>IFERROR(V13/V50,0)</f>
        <v/>
      </c>
      <c r="W51" s="46">
        <f>IFERROR(W13/W50,0)</f>
        <v/>
      </c>
      <c r="X51" s="46">
        <f>IFERROR(X13/X50,0)</f>
        <v/>
      </c>
      <c r="Y51" s="46">
        <f>IFERROR(Y13/Y50,0)</f>
        <v/>
      </c>
    </row>
    <row r="52">
      <c r="A52" t="inlineStr">
        <is>
          <t>EBITDA Margin %</t>
        </is>
      </c>
      <c r="B52" s="52">
        <f>IFERROR((B13-B14-B15)/B13,0)</f>
        <v/>
      </c>
      <c r="C52" s="52">
        <f>IFERROR((C13-C14-C15)/C13,0)</f>
        <v/>
      </c>
      <c r="D52" s="52">
        <f>IFERROR((D13-D14-D15)/D13,0)</f>
        <v/>
      </c>
      <c r="E52" s="52">
        <f>IFERROR((E13-E14-E15)/E13,0)</f>
        <v/>
      </c>
      <c r="F52" s="52">
        <f>IFERROR((F13-F14-F15)/F13,0)</f>
        <v/>
      </c>
      <c r="G52" s="52">
        <f>IFERROR((G13-G14-G15)/G13,0)</f>
        <v/>
      </c>
      <c r="H52" s="52">
        <f>IFERROR((H13-H14-H15)/H13,0)</f>
        <v/>
      </c>
      <c r="I52" s="52">
        <f>IFERROR((I13-I14-I15)/I13,0)</f>
        <v/>
      </c>
      <c r="J52" s="52">
        <f>IFERROR((J13-J14-J15)/J13,0)</f>
        <v/>
      </c>
      <c r="K52" s="52">
        <f>IFERROR((K13-K14-K15)/K13,0)</f>
        <v/>
      </c>
      <c r="L52" s="52">
        <f>IFERROR((L13-L14-L15)/L13,0)</f>
        <v/>
      </c>
      <c r="M52" s="52">
        <f>IFERROR((M13-M14-M15)/M13,0)</f>
        <v/>
      </c>
      <c r="N52" s="52">
        <f>IFERROR((N13-N14-N15)/N13,0)</f>
        <v/>
      </c>
      <c r="O52" s="52">
        <f>IFERROR((O13-O14-O15)/O13,0)</f>
        <v/>
      </c>
      <c r="P52" s="52">
        <f>IFERROR((P13-P14-P15)/P13,0)</f>
        <v/>
      </c>
      <c r="Q52" s="52">
        <f>IFERROR((Q13-Q14-Q15)/Q13,0)</f>
        <v/>
      </c>
      <c r="R52" s="52">
        <f>IFERROR((R13-R14-R15)/R13,0)</f>
        <v/>
      </c>
      <c r="S52" s="52">
        <f>IFERROR((S13-S14-S15)/S13,0)</f>
        <v/>
      </c>
      <c r="T52" s="52">
        <f>IFERROR((T13-T14-T15)/T13,0)</f>
        <v/>
      </c>
      <c r="U52" s="52">
        <f>IFERROR((U13-U14-U15)/U13,0)</f>
        <v/>
      </c>
      <c r="V52" s="52">
        <f>IFERROR((V13-V14-V15)/V13,0)</f>
        <v/>
      </c>
      <c r="W52" s="52">
        <f>IFERROR((W13-W14-W15)/W13,0)</f>
        <v/>
      </c>
      <c r="X52" s="52">
        <f>IFERROR((X13-X14-X15)/X13,0)</f>
        <v/>
      </c>
      <c r="Y52" s="52">
        <f>IFERROR((Y13-Y14-Y15)/Y13,0)</f>
        <v/>
      </c>
    </row>
    <row r="53">
      <c r="A53" t="inlineStr">
        <is>
          <t>Investimento Cumulativo</t>
        </is>
      </c>
      <c r="B53" s="46">
        <f>B12</f>
        <v/>
      </c>
      <c r="C53" s="46">
        <f>B53+C12</f>
        <v/>
      </c>
      <c r="D53" s="46">
        <f>C53+D12</f>
        <v/>
      </c>
      <c r="E53" s="46">
        <f>D53+E12</f>
        <v/>
      </c>
      <c r="F53" s="46">
        <f>E53+F12</f>
        <v/>
      </c>
      <c r="G53" s="46">
        <f>F53+G12</f>
        <v/>
      </c>
      <c r="H53" s="46">
        <f>G53+H12</f>
        <v/>
      </c>
      <c r="I53" s="46">
        <f>H53+I12</f>
        <v/>
      </c>
      <c r="J53" s="46">
        <f>I53+J12</f>
        <v/>
      </c>
      <c r="K53" s="46">
        <f>J53+K12</f>
        <v/>
      </c>
      <c r="L53" s="46">
        <f>K53+L12</f>
        <v/>
      </c>
      <c r="M53" s="46">
        <f>L53+M12</f>
        <v/>
      </c>
      <c r="N53" s="46">
        <f>M53+N12</f>
        <v/>
      </c>
      <c r="O53" s="46">
        <f>N53+O12</f>
        <v/>
      </c>
      <c r="P53" s="46">
        <f>O53+P12</f>
        <v/>
      </c>
      <c r="Q53" s="46">
        <f>P53+Q12</f>
        <v/>
      </c>
      <c r="R53" s="46">
        <f>Q53+R12</f>
        <v/>
      </c>
      <c r="S53" s="46">
        <f>R53+S12</f>
        <v/>
      </c>
      <c r="T53" s="46">
        <f>S53+T12</f>
        <v/>
      </c>
      <c r="U53" s="46">
        <f>T53+U12</f>
        <v/>
      </c>
      <c r="V53" s="46">
        <f>U53+V12</f>
        <v/>
      </c>
      <c r="W53" s="46">
        <f>V53+W12</f>
        <v/>
      </c>
      <c r="X53" s="46">
        <f>W53+X12</f>
        <v/>
      </c>
      <c r="Y53" s="46">
        <f>X53+Y12</f>
        <v/>
      </c>
    </row>
    <row r="56">
      <c r="A56" s="16" t="inlineStr">
        <is>
          <t>ANALISI FABBISOGNO FINANZIARIO</t>
        </is>
      </c>
    </row>
    <row r="57">
      <c r="A57" t="inlineStr">
        <is>
          <t>Investimento Totale Teorico</t>
        </is>
      </c>
      <c r="B57" s="46">
        <f>5*'Investimento &amp; ROI'!B15</f>
        <v/>
      </c>
      <c r="C57" s="39">
        <f>TEXT('Investimento &amp; ROI'!B15,"€#,##0")&amp;" × 5 Punti Vendita"</f>
        <v/>
      </c>
    </row>
    <row r="58">
      <c r="A58" s="19" t="inlineStr">
        <is>
          <t>Punto di Minimo CF Cumulativo</t>
        </is>
      </c>
      <c r="B58" s="48">
        <f>MIN(B17:Y17)</f>
        <v/>
      </c>
      <c r="C58" s="38" t="inlineStr">
        <is>
          <t>Massimo capitale richiesto (calcolato)</t>
        </is>
      </c>
    </row>
    <row r="59">
      <c r="A59" s="19" t="inlineStr">
        <is>
          <t>INVESTIMENTO INIZIALE REALE</t>
        </is>
      </c>
      <c r="B59" s="58">
        <f>ABS(B58)</f>
        <v/>
      </c>
      <c r="C59" s="38" t="inlineStr">
        <is>
          <t>Capitale da avere all'inizio</t>
        </is>
      </c>
    </row>
    <row r="60">
      <c r="A60" t="inlineStr">
        <is>
          <t>Risparmio vs Investimento Teorico</t>
        </is>
      </c>
      <c r="B60" s="46">
        <f>B57-B59</f>
        <v/>
      </c>
      <c r="C60" s="52">
        <f>(B57-B59)/B57</f>
        <v/>
      </c>
    </row>
    <row r="61">
      <c r="A61" t="inlineStr">
        <is>
          <t>Mese del Massimo Fabbisogno</t>
        </is>
      </c>
      <c r="B61" s="12">
        <f>MATCH(B58,B17:Y17,0)</f>
        <v/>
      </c>
      <c r="C61" s="39" t="inlineStr">
        <is>
          <t>Mese con minimo CF cumulativo</t>
        </is>
      </c>
    </row>
    <row r="63">
      <c r="A63" s="27" t="inlineStr">
        <is>
          <t>Note:</t>
        </is>
      </c>
    </row>
    <row r="64">
      <c r="A64" t="inlineStr">
        <is>
          <t>Ramp-up vendite:</t>
        </is>
      </c>
      <c r="B64" s="39" t="inlineStr">
        <is>
          <t>30% (mesi 1-2), 60% (mesi 3-9), 100% (mese 10+)</t>
        </is>
      </c>
    </row>
    <row r="65">
      <c r="A65" t="inlineStr">
        <is>
          <t>Interpretazione:</t>
        </is>
      </c>
      <c r="B65" s="39" t="inlineStr">
        <is>
          <t>L'investimento iniziale reale considera il cash flow positivo generato dal Punto Vendita 1</t>
        </is>
      </c>
    </row>
    <row r="66">
      <c r="B66" s="39" t="inlineStr">
        <is>
          <t>che copre parte dei costi di apertura dei Punto Vendita successivi.</t>
        </is>
      </c>
    </row>
    <row r="67">
      <c r="B67" s="39" t="inlineStr">
        <is>
          <t>NON servono €950,000 all'inizio, ma solo il capitale necessario per coprire</t>
        </is>
      </c>
    </row>
    <row r="68">
      <c r="B68" s="39" t="inlineStr">
        <is>
          <t>il punto di minimo del cash flow cumulativo.</t>
        </is>
      </c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2025-10-25T21:35:05Z</dcterms:created>
  <dcterms:modified xmlns:dcterms="http://purl.org/dc/terms/" xmlns:xsi="http://www.w3.org/2001/XMLSchema-instance" xsi:type="dcterms:W3CDTF">2025-10-29T13:01:31Z</dcterms:modified>
</cp:coreProperties>
</file>