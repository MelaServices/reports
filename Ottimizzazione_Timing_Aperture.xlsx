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 Timing Aper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000000"/>
      <sz val="11"/>
    </font>
    <font>
      <b val="1"/>
    </font>
    <font>
      <name val="Arial"/>
      <b val="1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D7AB8"/>
        <bgColor rgb="003D7AB8"/>
      </patternFill>
    </fill>
    <fill>
      <patternFill patternType="solid">
        <fgColor rgb="00FFF4E0"/>
        <bgColor rgb="00FFF4E0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165" fontId="5" fillId="4" borderId="0" pivotButton="0" quotePrefix="0" xfId="0"/>
    <xf numFmtId="0" fontId="6" fillId="4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  <col width="18" customWidth="1" min="7" max="7"/>
    <col width="18" customWidth="1" min="8" max="8"/>
    <col width="15" customWidth="1" min="9" max="9"/>
    <col width="20" customWidth="1" min="10" max="10"/>
  </cols>
  <sheetData>
    <row r="1" ht="30" customHeight="1">
      <c r="A1" s="1" t="inlineStr">
        <is>
          <t>ANALISI OTTIMIZZAZIONE TIMING APERTURA SECONDO PUNTO VENDITA</t>
        </is>
      </c>
    </row>
    <row r="3">
      <c r="A3" s="2" t="inlineStr">
        <is>
          <t>PARAMETRI DI INPUT</t>
        </is>
      </c>
    </row>
    <row r="4">
      <c r="A4" s="3" t="inlineStr">
        <is>
          <t>Parametro</t>
        </is>
      </c>
      <c r="B4" s="3" t="inlineStr">
        <is>
          <t>Valore</t>
        </is>
      </c>
      <c r="C4" s="3" t="inlineStr">
        <is>
          <t>Unità</t>
        </is>
      </c>
      <c r="D4" s="3" t="inlineStr">
        <is>
          <t>Note</t>
        </is>
      </c>
    </row>
    <row r="5">
      <c r="A5" t="inlineStr">
        <is>
          <t>Investimento per PdV</t>
        </is>
      </c>
      <c r="B5">
        <f>RIFERIMENTO_ESTERNO</f>
        <v/>
      </c>
      <c r="C5" t="inlineStr">
        <is>
          <t>€</t>
        </is>
      </c>
      <c r="D5" t="inlineStr">
        <is>
          <t>Da Business_Plan_Italian_Corner.xlsx</t>
        </is>
      </c>
    </row>
    <row r="6">
      <c r="A6" t="inlineStr">
        <is>
          <t>EBITDA Mensile a Regime</t>
        </is>
      </c>
      <c r="B6" s="4" t="n">
        <v>51530</v>
      </c>
      <c r="C6" t="inlineStr">
        <is>
          <t>€</t>
        </is>
      </c>
      <c r="D6" t="inlineStr">
        <is>
          <t>Margine operativo mensile al 100% capacità</t>
        </is>
      </c>
    </row>
    <row r="7">
      <c r="A7" t="inlineStr">
        <is>
          <t>Ricavi Mensili a Regime</t>
        </is>
      </c>
      <c r="B7" s="4" t="n">
        <v>107550</v>
      </c>
      <c r="C7" t="inlineStr">
        <is>
          <t>€</t>
        </is>
      </c>
      <c r="D7" t="inlineStr">
        <is>
          <t>Fatturato al 100% capacità</t>
        </is>
      </c>
    </row>
    <row r="8">
      <c r="A8" t="inlineStr">
        <is>
          <t>COGS %</t>
        </is>
      </c>
      <c r="B8" s="5" t="n">
        <v>0.397</v>
      </c>
      <c r="C8" t="inlineStr">
        <is>
          <t>%</t>
        </is>
      </c>
      <c r="D8" t="inlineStr">
        <is>
          <t>Costi variabili su ricavi</t>
        </is>
      </c>
    </row>
    <row r="9">
      <c r="A9" t="inlineStr">
        <is>
          <t>OPEX Fissi Mensili</t>
        </is>
      </c>
      <c r="B9" s="4" t="n">
        <v>13345</v>
      </c>
      <c r="C9" t="inlineStr">
        <is>
          <t>€</t>
        </is>
      </c>
      <c r="D9" t="inlineStr">
        <is>
          <t>Costi operativi fissi per PdV</t>
        </is>
      </c>
    </row>
    <row r="11">
      <c r="A11" s="6" t="inlineStr">
        <is>
          <t>COEFFICIENTI RAMP-UP</t>
        </is>
      </c>
    </row>
    <row r="12">
      <c r="A12" t="inlineStr">
        <is>
          <t>Mesi 1-2</t>
        </is>
      </c>
      <c r="B12" s="5" t="n">
        <v>0.3</v>
      </c>
      <c r="C12" t="inlineStr">
        <is>
          <t>%</t>
        </is>
      </c>
      <c r="D12" t="inlineStr">
        <is>
          <t>30% capacità - fase iniziale</t>
        </is>
      </c>
    </row>
    <row r="13">
      <c r="A13" t="inlineStr">
        <is>
          <t>Mesi 3-9</t>
        </is>
      </c>
      <c r="B13" s="5" t="n">
        <v>0.6</v>
      </c>
      <c r="C13" t="inlineStr">
        <is>
          <t>%</t>
        </is>
      </c>
      <c r="D13" t="inlineStr">
        <is>
          <t>60% capacità - fase crescita</t>
        </is>
      </c>
    </row>
    <row r="14">
      <c r="A14" t="inlineStr">
        <is>
          <t>Mesi 10+</t>
        </is>
      </c>
      <c r="B14" s="5" t="n">
        <v>1</v>
      </c>
      <c r="C14" t="inlineStr">
        <is>
          <t>%</t>
        </is>
      </c>
      <c r="D14" t="inlineStr">
        <is>
          <t>100% capacità - regime</t>
        </is>
      </c>
    </row>
    <row r="16">
      <c r="A16" s="2" t="inlineStr">
        <is>
          <t>ANALISI SCENARI: APERTURA SECONDO PUNTO VENDITA</t>
        </is>
      </c>
    </row>
    <row r="17">
      <c r="A17" s="3" t="inlineStr">
        <is>
          <t>Mese Apertura PdV2</t>
        </is>
      </c>
      <c r="B17" s="3" t="inlineStr">
        <is>
          <t>CF Cumul PdV1</t>
        </is>
      </c>
      <c r="C17" s="3" t="inlineStr">
        <is>
          <t>Invest PdV2</t>
        </is>
      </c>
      <c r="D17" s="3" t="inlineStr">
        <is>
          <t>Gap da Coprire</t>
        </is>
      </c>
      <c r="E17" s="3" t="inlineStr">
        <is>
          <t>Capitale Tot Inizio</t>
        </is>
      </c>
      <c r="F17" s="3" t="inlineStr">
        <is>
          <t>CF Min Post</t>
        </is>
      </c>
      <c r="G17" s="3" t="inlineStr">
        <is>
          <t>Capitale Aggiuntivo</t>
        </is>
      </c>
      <c r="H17" s="3" t="inlineStr">
        <is>
          <t>Risparmio vs Simult</t>
        </is>
      </c>
      <c r="I17" s="3" t="inlineStr">
        <is>
          <t>% Risparmio</t>
        </is>
      </c>
      <c r="J17" s="3" t="inlineStr">
        <is>
          <t>Raccomandazione</t>
        </is>
      </c>
    </row>
    <row r="18">
      <c r="A18" t="n">
        <v>6</v>
      </c>
      <c r="B18" s="4" t="n">
        <v>-77773.64000000004</v>
      </c>
      <c r="C18" s="4" t="n">
        <v>166695</v>
      </c>
      <c r="D18" s="4" t="n">
        <v>166695</v>
      </c>
      <c r="E18" s="4" t="n">
        <v>333390</v>
      </c>
      <c r="F18" s="4" t="n">
        <v>-244468.64</v>
      </c>
      <c r="G18" s="4" t="n">
        <v>0</v>
      </c>
      <c r="H18" s="4" t="n">
        <v>0</v>
      </c>
      <c r="I18" s="5" t="n">
        <v>0</v>
      </c>
      <c r="J18" t="inlineStr"/>
    </row>
    <row r="19">
      <c r="A19" t="n">
        <v>7</v>
      </c>
      <c r="B19" s="4" t="n">
        <v>-52207.05000000005</v>
      </c>
      <c r="C19" s="4" t="n">
        <v>166695</v>
      </c>
      <c r="D19" s="4" t="n">
        <v>166695</v>
      </c>
      <c r="E19" s="4" t="n">
        <v>333390</v>
      </c>
      <c r="F19" s="4" t="n">
        <v>-218902.05</v>
      </c>
      <c r="G19" s="4" t="n">
        <v>0</v>
      </c>
      <c r="H19" s="4" t="n">
        <v>0</v>
      </c>
      <c r="I19" s="5" t="n">
        <v>0</v>
      </c>
      <c r="J19" t="inlineStr"/>
    </row>
    <row r="20">
      <c r="A20" t="n">
        <v>8</v>
      </c>
      <c r="B20" s="4" t="n">
        <v>-26640.46000000005</v>
      </c>
      <c r="C20" s="4" t="n">
        <v>166695</v>
      </c>
      <c r="D20" s="4" t="n">
        <v>166695</v>
      </c>
      <c r="E20" s="4" t="n">
        <v>333390</v>
      </c>
      <c r="F20" s="4" t="n">
        <v>-193335.4600000001</v>
      </c>
      <c r="G20" s="4" t="n">
        <v>0</v>
      </c>
      <c r="H20" s="4" t="n">
        <v>0</v>
      </c>
      <c r="I20" s="5" t="n">
        <v>0</v>
      </c>
      <c r="J20" t="inlineStr"/>
    </row>
    <row r="21">
      <c r="A21" t="n">
        <v>9</v>
      </c>
      <c r="B21" s="4" t="n">
        <v>-1073.870000000054</v>
      </c>
      <c r="C21" s="4" t="n">
        <v>166695</v>
      </c>
      <c r="D21" s="4" t="n">
        <v>166695</v>
      </c>
      <c r="E21" s="4" t="n">
        <v>333390</v>
      </c>
      <c r="F21" s="4" t="n">
        <v>-167768.8700000001</v>
      </c>
      <c r="G21" s="4" t="n">
        <v>0</v>
      </c>
      <c r="H21" s="4" t="n">
        <v>0</v>
      </c>
      <c r="I21" s="5" t="n">
        <v>0</v>
      </c>
      <c r="J21" t="inlineStr"/>
    </row>
    <row r="22">
      <c r="A22" t="n">
        <v>10</v>
      </c>
      <c r="B22" s="4" t="n">
        <v>24492.71999999994</v>
      </c>
      <c r="C22" s="4" t="n">
        <v>166695</v>
      </c>
      <c r="D22" s="4" t="n">
        <v>142202.2800000001</v>
      </c>
      <c r="E22" s="4" t="n">
        <v>308897.28</v>
      </c>
      <c r="F22" s="4" t="n">
        <v>-142202.2800000001</v>
      </c>
      <c r="G22" s="4" t="n">
        <v>0</v>
      </c>
      <c r="H22" s="4" t="n">
        <v>24492.71999999997</v>
      </c>
      <c r="I22" s="5" t="n">
        <v>7.34656708359578</v>
      </c>
      <c r="J22" t="inlineStr"/>
    </row>
    <row r="23">
      <c r="A23" t="n">
        <v>11</v>
      </c>
      <c r="B23" s="4" t="n">
        <v>76000.36999999994</v>
      </c>
      <c r="C23" s="4" t="n">
        <v>166695</v>
      </c>
      <c r="D23" s="4" t="n">
        <v>90694.63000000006</v>
      </c>
      <c r="E23" s="4" t="n">
        <v>257389.6300000001</v>
      </c>
      <c r="F23" s="4" t="n">
        <v>-90694.63000000006</v>
      </c>
      <c r="G23" s="4" t="n">
        <v>0</v>
      </c>
      <c r="H23" s="4" t="n">
        <v>76000.36999999994</v>
      </c>
      <c r="I23" s="5" t="n">
        <v>22.79623563994119</v>
      </c>
      <c r="J23" t="inlineStr"/>
    </row>
    <row r="24">
      <c r="A24" t="n">
        <v>12</v>
      </c>
      <c r="B24" s="4" t="n">
        <v>127508.0199999999</v>
      </c>
      <c r="C24" s="4" t="n">
        <v>166695</v>
      </c>
      <c r="D24" s="4" t="n">
        <v>39186.98000000007</v>
      </c>
      <c r="E24" s="4" t="n">
        <v>205881.9800000001</v>
      </c>
      <c r="F24" s="4" t="n">
        <v>-39186.98000000007</v>
      </c>
      <c r="G24" s="4" t="n">
        <v>0</v>
      </c>
      <c r="H24" s="4" t="n">
        <v>127508.0199999999</v>
      </c>
      <c r="I24" s="5" t="n">
        <v>38.24590419628661</v>
      </c>
      <c r="J24" t="inlineStr"/>
    </row>
    <row r="25">
      <c r="A25" s="7" t="n">
        <v>13</v>
      </c>
      <c r="B25" s="8" t="n">
        <v>179015.6699999999</v>
      </c>
      <c r="C25" s="8" t="n">
        <v>166695</v>
      </c>
      <c r="D25" s="8" t="n">
        <v>0</v>
      </c>
      <c r="E25" s="8" t="n">
        <v>166695</v>
      </c>
      <c r="F25" s="8" t="n">
        <v>12320.66999999993</v>
      </c>
      <c r="G25" s="8" t="n">
        <v>0</v>
      </c>
      <c r="H25" s="8" t="n">
        <v>166695</v>
      </c>
      <c r="I25" s="9" t="n">
        <v>50</v>
      </c>
      <c r="J25" s="7" t="inlineStr">
        <is>
          <t>★ OTTIMALE ★</t>
        </is>
      </c>
    </row>
    <row r="26">
      <c r="A26" t="n">
        <v>14</v>
      </c>
      <c r="B26" s="4" t="n">
        <v>230523.3199999999</v>
      </c>
      <c r="C26" s="4" t="n">
        <v>166695</v>
      </c>
      <c r="D26" s="4" t="n">
        <v>0</v>
      </c>
      <c r="E26" s="4" t="n">
        <v>166695</v>
      </c>
      <c r="F26" s="4" t="n">
        <v>63828.31999999992</v>
      </c>
      <c r="G26" s="4" t="n">
        <v>0</v>
      </c>
      <c r="H26" s="4" t="n">
        <v>166695</v>
      </c>
      <c r="I26" s="5" t="n">
        <v>50</v>
      </c>
      <c r="J26" t="inlineStr"/>
    </row>
    <row r="27">
      <c r="A27" t="n">
        <v>15</v>
      </c>
      <c r="B27" s="4" t="n">
        <v>282030.9699999999</v>
      </c>
      <c r="C27" s="4" t="n">
        <v>166695</v>
      </c>
      <c r="D27" s="4" t="n">
        <v>0</v>
      </c>
      <c r="E27" s="4" t="n">
        <v>166695</v>
      </c>
      <c r="F27" s="4" t="n">
        <v>115335.9699999999</v>
      </c>
      <c r="G27" s="4" t="n">
        <v>0</v>
      </c>
      <c r="H27" s="4" t="n">
        <v>166695</v>
      </c>
      <c r="I27" s="5" t="n">
        <v>50</v>
      </c>
      <c r="J27" t="inlineStr"/>
    </row>
    <row r="28">
      <c r="A28" t="n">
        <v>16</v>
      </c>
      <c r="B28" s="4" t="n">
        <v>333538.6199999999</v>
      </c>
      <c r="C28" s="4" t="n">
        <v>166695</v>
      </c>
      <c r="D28" s="4" t="n">
        <v>0</v>
      </c>
      <c r="E28" s="4" t="n">
        <v>166695</v>
      </c>
      <c r="F28" s="4" t="n">
        <v>166843.6199999999</v>
      </c>
      <c r="G28" s="4" t="n">
        <v>148.6199999999371</v>
      </c>
      <c r="H28" s="4" t="n">
        <v>166546.3800000001</v>
      </c>
      <c r="I28" s="5" t="n">
        <v>49.9554215783317</v>
      </c>
      <c r="J28" t="inlineStr"/>
    </row>
    <row r="29">
      <c r="A29" t="n">
        <v>17</v>
      </c>
      <c r="B29" s="4" t="n">
        <v>385046.27</v>
      </c>
      <c r="C29" s="4" t="n">
        <v>166695</v>
      </c>
      <c r="D29" s="4" t="n">
        <v>0</v>
      </c>
      <c r="E29" s="4" t="n">
        <v>166695</v>
      </c>
      <c r="F29" s="4" t="n">
        <v>218351.27</v>
      </c>
      <c r="G29" s="4" t="n">
        <v>51656.26999999996</v>
      </c>
      <c r="H29" s="4" t="n">
        <v>115038.73</v>
      </c>
      <c r="I29" s="5" t="n">
        <v>34.50575302198627</v>
      </c>
      <c r="J29" t="inlineStr"/>
    </row>
    <row r="30">
      <c r="A30" t="n">
        <v>18</v>
      </c>
      <c r="B30" s="4" t="n">
        <v>436553.92</v>
      </c>
      <c r="C30" s="4" t="n">
        <v>166695</v>
      </c>
      <c r="D30" s="4" t="n">
        <v>0</v>
      </c>
      <c r="E30" s="4" t="n">
        <v>166695</v>
      </c>
      <c r="F30" s="4" t="n">
        <v>269858.92</v>
      </c>
      <c r="G30" s="4" t="n">
        <v>103163.92</v>
      </c>
      <c r="H30" s="4" t="n">
        <v>63531.08000000002</v>
      </c>
      <c r="I30" s="5" t="n">
        <v>19.05608446564085</v>
      </c>
      <c r="J30" t="inlineStr"/>
    </row>
    <row r="32">
      <c r="A32" s="2" t="inlineStr">
        <is>
          <t>CONCLUSIONI E RACCOMANDAZIONI</t>
        </is>
      </c>
    </row>
    <row r="33">
      <c r="A33" s="10" t="inlineStr">
        <is>
          <t>RISULTATO OTTIMALE</t>
        </is>
      </c>
    </row>
    <row r="34">
      <c r="A34" s="11" t="inlineStr">
        <is>
          <t>Mese ottimale apertura PdV2:</t>
        </is>
      </c>
      <c r="B34" s="11" t="inlineStr">
        <is>
          <t>Mese 13</t>
        </is>
      </c>
    </row>
    <row r="35">
      <c r="A35" t="inlineStr">
        <is>
          <t>Capitale totale richiesto (M1):</t>
        </is>
      </c>
      <c r="B35" t="inlineStr">
        <is>
          <t>€166,695</t>
        </is>
      </c>
    </row>
    <row r="36">
      <c r="A36" t="inlineStr">
        <is>
          <t>Risparmio vs apertura simultanea:</t>
        </is>
      </c>
      <c r="B36" t="inlineStr">
        <is>
          <t>€166,695 (50.0%)</t>
        </is>
      </c>
    </row>
    <row r="38">
      <c r="A38" s="12" t="inlineStr">
        <is>
          <t>SPIEGAZIONE LOGICA</t>
        </is>
      </c>
    </row>
    <row r="39">
      <c r="A39" s="12" t="inlineStr">
        <is>
          <t>Il timing ottimale bilancia due fattori:</t>
        </is>
      </c>
    </row>
    <row r="40">
      <c r="A40" s="12" t="inlineStr">
        <is>
          <t>1. CASH FLOW ACCUMULATO: Aspettare permette al PdV1 di generare più cassa</t>
        </is>
      </c>
    </row>
    <row r="41">
      <c r="A41" s="12" t="inlineStr">
        <is>
          <t>2. RAMP-UP: Il PdV2 impiega 10 mesi per raggiungere il 100% capacità</t>
        </is>
      </c>
    </row>
    <row r="42">
      <c r="A42" s="12" t="inlineStr">
        <is>
          <t>3. EFFETTO COMBINATO: Il CF positivo del PdV1 deve coprire il periodo di ramp-up del PdV2</t>
        </is>
      </c>
    </row>
    <row r="44">
      <c r="A44" s="12" t="inlineStr">
        <is>
          <t>Se apri TROPPO PRESTO:</t>
        </is>
      </c>
    </row>
    <row r="45">
      <c r="A45" s="12" t="inlineStr">
        <is>
          <t>- Il PdV1 non ha ancora generato abbastanza cassa positiva</t>
        </is>
      </c>
    </row>
    <row r="46">
      <c r="A46" s="12" t="inlineStr">
        <is>
          <t>- Devi investire quasi il capitale completo per entrambi</t>
        </is>
      </c>
    </row>
    <row r="48">
      <c r="A48" s="12" t="inlineStr">
        <is>
          <t>Se apri TROPPO TARDI:</t>
        </is>
      </c>
    </row>
    <row r="49">
      <c r="A49" s="12" t="inlineStr">
        <is>
          <t>- Perdi opportunità di ricavi del PdV2</t>
        </is>
      </c>
    </row>
    <row r="50">
      <c r="A50" s="12" t="inlineStr">
        <is>
          <t>- L'effetto moltiplicativo dei due negozi si ritarda</t>
        </is>
      </c>
    </row>
    <row r="52">
      <c r="A52" s="12" t="inlineStr">
        <is>
          <t>FORMULA CORRETTA UTILIZZATA</t>
        </is>
      </c>
    </row>
    <row r="53">
      <c r="A53" s="12" t="inlineStr">
        <is>
          <t>Per ogni mese potenziale di apertura:</t>
        </is>
      </c>
    </row>
    <row r="54">
      <c r="A54" s="12" t="inlineStr">
        <is>
          <t>1. CF_PdV1(M) = Cash flow cumulativo PdV1 fino al mese M-1</t>
        </is>
      </c>
    </row>
    <row r="55">
      <c r="A55" s="12" t="inlineStr">
        <is>
          <t>2. Gap = MAX(0, Invest_PdV2 - CF_PdV1) = quanto manca per pagare PdV2</t>
        </is>
      </c>
    </row>
    <row r="56">
      <c r="A56" s="12" t="inlineStr">
        <is>
          <t>3. Capitale_Inizio = Invest_PdV1 + Gap = capitale da avere al mese 1</t>
        </is>
      </c>
    </row>
    <row r="57">
      <c r="A57" s="12" t="inlineStr">
        <is>
          <t>4. Simula CF combinato da M a M24, trova il minimo</t>
        </is>
      </c>
    </row>
    <row r="58">
      <c r="A58" s="12" t="inlineStr">
        <is>
          <t>5. Se CF_min &lt; -Capitale_Inizio, serve capitale aggiuntivo</t>
        </is>
      </c>
    </row>
    <row r="59">
      <c r="A59" s="12" t="inlineStr">
        <is>
          <t>6. Capitale_Totale = Capitale_Inizio + eventuali aggiunte</t>
        </is>
      </c>
    </row>
    <row r="60">
      <c r="A60" s="12" t="inlineStr">
        <is>
          <t>7. Il mese con minimo Capitale_Totale è quello ottimale</t>
        </is>
      </c>
    </row>
    <row r="62">
      <c r="A62" s="12" t="inlineStr">
        <is>
          <t>IMPORTANTE: Capitale minimo assoluto = €170.000 (1 PdV al mese 1)</t>
        </is>
      </c>
    </row>
  </sheetData>
  <mergeCells count="4">
    <mergeCell ref="A16:P16"/>
    <mergeCell ref="A32:H32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2025-10-23T17:41:38Z</dcterms:created>
  <dcterms:modified xmlns:dcterms="http://purl.org/dc/terms/" xmlns:xsi="http://www.w3.org/2001/XMLSchema-instance" xsi:type="dcterms:W3CDTF">2025-10-23T17:41:38Z</dcterms:modified>
</cp:coreProperties>
</file>